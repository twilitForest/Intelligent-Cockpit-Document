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8.xml" ContentType="application/vnd.openxmlformats-officedocument.spreadsheetml.revisionLog+xml"/>
  <Override PartName="/xl/revisions/revisionLog3.xml" ContentType="application/vnd.openxmlformats-officedocument.spreadsheetml.revisionLog+xml"/>
  <Override PartName="/xl/revisions/revisionLog7.xml" ContentType="application/vnd.openxmlformats-officedocument.spreadsheetml.revisionLog+xml"/>
  <Override PartName="/xl/revisions/revisionLog2.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5.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xyin10\Desktop\Sunroof_LIN\"/>
    </mc:Choice>
  </mc:AlternateContent>
  <xr:revisionPtr revIDLastSave="0" documentId="13_ncr:81_{8FD20C44-6427-4F66-BD24-06A3D1CE3527}" xr6:coauthVersionLast="41" xr6:coauthVersionMax="41" xr10:uidLastSave="{00000000-0000-0000-0000-000000000000}"/>
  <workbookProtection lockRevision="1"/>
  <bookViews>
    <workbookView xWindow="-120" yWindow="-120" windowWidth="29040" windowHeight="15840" tabRatio="902" xr2:uid="{00000000-000D-0000-FFFF-FFFF00000000}"/>
  </bookViews>
  <sheets>
    <sheet name="DureOS-LIN" sheetId="1" r:id="rId1"/>
    <sheet name="Revision History" sheetId="5" r:id="rId2"/>
    <sheet name="Schedule Table" sheetId="2" r:id="rId3"/>
    <sheet name="open topics" sheetId="3" r:id="rId4"/>
    <sheet name="语音-LIN_map" sheetId="4" r:id="rId5"/>
  </sheets>
  <definedNames>
    <definedName name="_xlnm._FilterDatabase" localSheetId="0" hidden="1">'DureOS-LIN'!$A$2:$HK$304</definedName>
    <definedName name="_xlnm.Print_Area" localSheetId="0">'DureOS-LIN'!$A$2:$AN$233</definedName>
    <definedName name="Z_566BD698_1192_4E29_A1DB_0EA15F9BC81B_.wvu.Cols" localSheetId="0" hidden="1">'DureOS-LIN'!$I:$V</definedName>
    <definedName name="Z_566BD698_1192_4E29_A1DB_0EA15F9BC81B_.wvu.Cols" localSheetId="4" hidden="1">'语音-LIN_map'!$F:$G</definedName>
    <definedName name="Z_566BD698_1192_4E29_A1DB_0EA15F9BC81B_.wvu.FilterData" localSheetId="0" hidden="1">'DureOS-LIN'!$A$2:$HK$304</definedName>
    <definedName name="Z_566BD698_1192_4E29_A1DB_0EA15F9BC81B_.wvu.PrintArea" localSheetId="0" hidden="1">'DureOS-LIN'!$A$2:$AN$233</definedName>
    <definedName name="Z_D28585A0_5D39_432E_81ED_6A20A7471F73_.wvu.Cols" localSheetId="0" hidden="1">'DureOS-LIN'!$I:$V</definedName>
    <definedName name="Z_D28585A0_5D39_432E_81ED_6A20A7471F73_.wvu.Cols" localSheetId="4" hidden="1">'语音-LIN_map'!$F:$G</definedName>
    <definedName name="Z_D28585A0_5D39_432E_81ED_6A20A7471F73_.wvu.FilterData" localSheetId="0" hidden="1">'DureOS-LIN'!$A$2:$HK$304</definedName>
    <definedName name="Z_D28585A0_5D39_432E_81ED_6A20A7471F73_.wvu.PrintArea" localSheetId="0" hidden="1">'DureOS-LIN'!$A$2:$AN$233</definedName>
  </definedNames>
  <calcPr calcId="191029"/>
  <customWorkbookViews>
    <customWorkbookView name="Yin, Joss (X.) - Personal View" guid="{D28585A0-5D39-432E-81ED-6A20A7471F73}" mergeInterval="0" personalView="1" maximized="1" xWindow="-8" yWindow="-8" windowWidth="1936" windowHeight="1056" tabRatio="902" activeSheetId="5"/>
    <customWorkbookView name="Xing, Mingxu - Personal View" guid="{566BD698-1192-4E29-A1DB-0EA15F9BC81B}" mergeInterval="0" personalView="1" maximized="1" xWindow="-2891" yWindow="-11" windowWidth="2902" windowHeight="1762" tabRatio="902"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8" i="5" l="1"/>
  <c r="M8" i="5" s="1"/>
  <c r="L9" i="5" s="1"/>
  <c r="M9" i="5" s="1"/>
  <c r="L10" i="5" s="1"/>
  <c r="M10" i="5" s="1"/>
  <c r="L4" i="5"/>
  <c r="M4" i="5" s="1"/>
  <c r="L5" i="5" s="1"/>
  <c r="M5" i="5" s="1"/>
  <c r="L6" i="5" s="1"/>
  <c r="M6" i="5" s="1"/>
  <c r="J8" i="1" l="1"/>
  <c r="K8" i="1" s="1"/>
  <c r="J9" i="1" s="1"/>
  <c r="K9" i="1" s="1"/>
  <c r="J10" i="1" s="1"/>
  <c r="K10" i="1" s="1"/>
  <c r="J11" i="1" s="1"/>
  <c r="K11" i="1" s="1"/>
  <c r="J12" i="1" l="1"/>
  <c r="K12" i="1" s="1"/>
  <c r="J13" i="1"/>
  <c r="K13" i="1" l="1"/>
  <c r="J14" i="1" s="1"/>
  <c r="K14" i="1" s="1"/>
  <c r="J15" i="1" s="1"/>
  <c r="K15" i="1" s="1"/>
  <c r="J16" i="1" l="1"/>
  <c r="K16" i="1" s="1"/>
  <c r="J17" i="1" l="1"/>
  <c r="K17" i="1" l="1"/>
  <c r="J18" i="1" s="1"/>
  <c r="K18" i="1" l="1"/>
  <c r="J19" i="1" s="1"/>
  <c r="K19" i="1" l="1"/>
  <c r="J20" i="1" s="1"/>
  <c r="K20" i="1" l="1"/>
  <c r="J21" i="1" s="1"/>
  <c r="K21" i="1" l="1"/>
  <c r="J22" i="1" s="1"/>
  <c r="K22" i="1" s="1"/>
  <c r="J23" i="1" s="1"/>
  <c r="K23" i="1" s="1"/>
  <c r="J24" i="1" s="1"/>
  <c r="K24" i="1" s="1"/>
  <c r="J25" i="1" s="1"/>
  <c r="K25" i="1" s="1"/>
  <c r="J26" i="1" s="1"/>
  <c r="K26" i="1" s="1"/>
  <c r="J27" i="1" s="1"/>
  <c r="K27" i="1" s="1"/>
  <c r="J28" i="1" l="1"/>
  <c r="K28" i="1" s="1"/>
  <c r="J29" i="1" l="1"/>
  <c r="K29" i="1" s="1"/>
  <c r="J30" i="1" l="1"/>
  <c r="K30" i="1" s="1"/>
  <c r="J31" i="1" l="1"/>
  <c r="K31" i="1" s="1"/>
  <c r="J32" i="1" l="1"/>
  <c r="K32" i="1" s="1"/>
</calcChain>
</file>

<file path=xl/sharedStrings.xml><?xml version="1.0" encoding="utf-8"?>
<sst xmlns="http://schemas.openxmlformats.org/spreadsheetml/2006/main" count="700" uniqueCount="268">
  <si>
    <t>No.</t>
    <phoneticPr fontId="14" type="noConversion"/>
  </si>
  <si>
    <t>Signal Name</t>
  </si>
  <si>
    <t>Signal Description</t>
    <phoneticPr fontId="14" type="noConversion"/>
  </si>
  <si>
    <t>Message 
Name</t>
    <phoneticPr fontId="10" type="noConversion"/>
  </si>
  <si>
    <t>Byte Order</t>
    <phoneticPr fontId="10" type="noConversion"/>
  </si>
  <si>
    <t>Comment</t>
    <phoneticPr fontId="14" type="noConversion"/>
  </si>
  <si>
    <t>Receiver</t>
    <phoneticPr fontId="14" type="noConversion"/>
  </si>
  <si>
    <t>Receiver</t>
    <phoneticPr fontId="10" type="noConversion"/>
  </si>
  <si>
    <t>Transmitter</t>
    <phoneticPr fontId="10" type="noConversion"/>
  </si>
  <si>
    <t>Offset</t>
    <phoneticPr fontId="10" type="noConversion"/>
  </si>
  <si>
    <t>P-Minimum</t>
    <phoneticPr fontId="10" type="noConversion"/>
  </si>
  <si>
    <t>P-Maximum</t>
    <phoneticPr fontId="10" type="noConversion"/>
  </si>
  <si>
    <t>Message ID
(HEX)</t>
    <phoneticPr fontId="10" type="noConversion"/>
  </si>
  <si>
    <t>Msb</t>
    <phoneticPr fontId="10" type="noConversion"/>
  </si>
  <si>
    <t>Lsb</t>
    <phoneticPr fontId="10" type="noConversion"/>
  </si>
  <si>
    <t>Coding</t>
    <phoneticPr fontId="10" type="noConversion"/>
  </si>
  <si>
    <t>Used by function</t>
    <phoneticPr fontId="14" type="noConversion"/>
  </si>
  <si>
    <t>Data Type</t>
    <phoneticPr fontId="10" type="noConversion"/>
  </si>
  <si>
    <t>Checksum Type</t>
    <phoneticPr fontId="10" type="noConversion"/>
  </si>
  <si>
    <t>size
[bit]</t>
    <phoneticPr fontId="10" type="noConversion"/>
  </si>
  <si>
    <t>Alternative value</t>
    <phoneticPr fontId="10" type="noConversion"/>
  </si>
  <si>
    <t>Factor</t>
    <phoneticPr fontId="10" type="noConversion"/>
  </si>
  <si>
    <t>Unit</t>
    <phoneticPr fontId="10" type="noConversion"/>
  </si>
  <si>
    <t>Intel</t>
  </si>
  <si>
    <t>/</t>
  </si>
  <si>
    <t>SunRoof</t>
    <phoneticPr fontId="0" type="noConversion"/>
  </si>
  <si>
    <t>Unsigned</t>
  </si>
  <si>
    <t>Enhanced</t>
  </si>
  <si>
    <t>/</t>
    <phoneticPr fontId="14" type="noConversion"/>
  </si>
  <si>
    <t>X</t>
    <phoneticPr fontId="10" type="noConversion"/>
  </si>
  <si>
    <t>/</t>
    <phoneticPr fontId="10" type="noConversion"/>
  </si>
  <si>
    <t>keep last value</t>
  </si>
  <si>
    <t>Unsigned</t>
    <phoneticPr fontId="14" type="noConversion"/>
  </si>
  <si>
    <t>X</t>
    <phoneticPr fontId="10" type="noConversion"/>
  </si>
  <si>
    <t>SunRoof</t>
    <phoneticPr fontId="14" type="noConversion"/>
  </si>
  <si>
    <t>/</t>
    <phoneticPr fontId="10" type="noConversion"/>
  </si>
  <si>
    <t>Unsigned</t>
    <phoneticPr fontId="14" type="noConversion"/>
  </si>
  <si>
    <t>/</t>
    <phoneticPr fontId="14" type="noConversion"/>
  </si>
  <si>
    <t>0x0: No Error
0x1: Error</t>
  </si>
  <si>
    <t>keep last value</t>
    <phoneticPr fontId="10" type="noConversion"/>
  </si>
  <si>
    <t>Report Relay status</t>
    <phoneticPr fontId="10" type="noConversion"/>
  </si>
  <si>
    <t>unsigned</t>
    <phoneticPr fontId="14" type="noConversion"/>
  </si>
  <si>
    <t xml:space="preserve">0x0: No Error
0x1: Error </t>
  </si>
  <si>
    <t>Report  over temperature</t>
    <phoneticPr fontId="10" type="noConversion"/>
  </si>
  <si>
    <t>Sunroof movement</t>
    <phoneticPr fontId="10" type="noConversion"/>
  </si>
  <si>
    <t>keep last value</t>
    <phoneticPr fontId="14" type="noConversion"/>
  </si>
  <si>
    <t>Sunroof normalized</t>
    <phoneticPr fontId="10" type="noConversion"/>
  </si>
  <si>
    <t>sunroof &amp; sunshade initializing</t>
    <phoneticPr fontId="10" type="noConversion"/>
  </si>
  <si>
    <t>0x0:  not in the Initializating
0x1: in the Initializating</t>
    <phoneticPr fontId="14" type="noConversion"/>
  </si>
  <si>
    <t>Sunroof teach run</t>
    <phoneticPr fontId="10" type="noConversion"/>
  </si>
  <si>
    <t>0x0: No teach run
0x1: Teach run successful</t>
  </si>
  <si>
    <t>unsigned</t>
    <phoneticPr fontId="14" type="noConversion"/>
  </si>
  <si>
    <t>keep last value</t>
    <phoneticPr fontId="10" type="noConversion"/>
  </si>
  <si>
    <t>/</t>
    <phoneticPr fontId="14" type="noConversion"/>
  </si>
  <si>
    <t>Sunshade movement</t>
    <phoneticPr fontId="14" type="noConversion"/>
  </si>
  <si>
    <t>/</t>
    <phoneticPr fontId="10" type="noConversion"/>
  </si>
  <si>
    <t>Sunshade normalized</t>
  </si>
  <si>
    <t>0x0: not normalized
0x1: normalized</t>
  </si>
  <si>
    <t>Sunshade teach run</t>
  </si>
  <si>
    <t>X</t>
  </si>
  <si>
    <t>0x0</t>
    <phoneticPr fontId="10" type="noConversion"/>
  </si>
  <si>
    <t>/</t>
    <phoneticPr fontId="10" type="noConversion"/>
  </si>
  <si>
    <t>0x1</t>
    <phoneticPr fontId="10" type="noConversion"/>
  </si>
  <si>
    <r>
      <t>0</t>
    </r>
    <r>
      <rPr>
        <sz val="10"/>
        <rFont val="Arial"/>
        <family val="2"/>
      </rPr>
      <t>x</t>
    </r>
    <r>
      <rPr>
        <sz val="10"/>
        <rFont val="Arial"/>
        <family val="2"/>
      </rPr>
      <t>7</t>
    </r>
    <phoneticPr fontId="10" type="noConversion"/>
  </si>
  <si>
    <t>No.</t>
    <phoneticPr fontId="10" type="noConversion"/>
  </si>
  <si>
    <t>Delay[ms]</t>
    <phoneticPr fontId="10" type="noConversion"/>
  </si>
  <si>
    <t>Cycle[ms]</t>
    <phoneticPr fontId="10" type="noConversion"/>
  </si>
  <si>
    <t>SunRoof</t>
    <phoneticPr fontId="10" type="noConversion"/>
  </si>
  <si>
    <t>enhanced</t>
  </si>
  <si>
    <t>0x0</t>
    <phoneticPr fontId="8" type="noConversion"/>
  </si>
  <si>
    <t>x</t>
  </si>
  <si>
    <t>0x0</t>
    <phoneticPr fontId="8" type="noConversion"/>
  </si>
  <si>
    <t>/</t>
    <phoneticPr fontId="10" type="noConversion"/>
  </si>
  <si>
    <t>Unsigned</t>
    <phoneticPr fontId="14" type="noConversion"/>
  </si>
  <si>
    <t>/</t>
    <phoneticPr fontId="14" type="noConversion"/>
  </si>
  <si>
    <r>
      <t xml:space="preserve">voice control for sunroof or 
cell APP telematics control for sunroof
</t>
    </r>
    <r>
      <rPr>
        <sz val="10"/>
        <color theme="1"/>
        <rFont val="宋体"/>
        <family val="3"/>
        <charset val="134"/>
      </rPr>
      <t/>
    </r>
    <phoneticPr fontId="10" type="noConversion"/>
  </si>
  <si>
    <t>Unsigned</t>
    <phoneticPr fontId="14" type="noConversion"/>
  </si>
  <si>
    <r>
      <t xml:space="preserve">voice control for sunshade or
cell APP telematics control for sunroof
</t>
    </r>
    <r>
      <rPr>
        <sz val="10"/>
        <color theme="1"/>
        <rFont val="宋体"/>
        <family val="3"/>
        <charset val="134"/>
      </rPr>
      <t/>
    </r>
    <phoneticPr fontId="10" type="noConversion"/>
  </si>
  <si>
    <t>/</t>
    <phoneticPr fontId="10" type="noConversion"/>
  </si>
  <si>
    <t>Unsigned</t>
    <phoneticPr fontId="14" type="noConversion"/>
  </si>
  <si>
    <t>/</t>
    <phoneticPr fontId="14" type="noConversion"/>
  </si>
  <si>
    <t xml:space="preserve">
Report sunroof position</t>
    <phoneticPr fontId="10" type="noConversion"/>
  </si>
  <si>
    <t>SunRoof_1</t>
    <phoneticPr fontId="10" type="noConversion"/>
  </si>
  <si>
    <t>x</t>
    <phoneticPr fontId="10" type="noConversion"/>
  </si>
  <si>
    <t>Report Sunshade position</t>
    <phoneticPr fontId="10" type="noConversion"/>
  </si>
  <si>
    <t>SR Curtain anti-pinch</t>
    <phoneticPr fontId="10" type="noConversion"/>
  </si>
  <si>
    <t>SS Curtain anti-pinch</t>
    <phoneticPr fontId="10" type="noConversion"/>
  </si>
  <si>
    <t>x</t>
    <phoneticPr fontId="10" type="noConversion"/>
  </si>
  <si>
    <t>SunRoof_1</t>
    <phoneticPr fontId="14" type="noConversion"/>
  </si>
  <si>
    <t>SunRoof</t>
  </si>
  <si>
    <t>Check error happen Reporting to the Network</t>
  </si>
  <si>
    <t>0x0</t>
  </si>
  <si>
    <r>
      <t xml:space="preserve">
</t>
    </r>
    <r>
      <rPr>
        <sz val="10"/>
        <color theme="1"/>
        <rFont val="Arial"/>
        <family val="2"/>
      </rPr>
      <t>/</t>
    </r>
  </si>
  <si>
    <r>
      <t>SunRoof</t>
    </r>
    <r>
      <rPr>
        <sz val="10"/>
        <rFont val="Arial"/>
        <family val="2"/>
      </rPr>
      <t>_</t>
    </r>
    <r>
      <rPr>
        <sz val="10"/>
        <rFont val="Arial"/>
        <family val="2"/>
      </rPr>
      <t>1</t>
    </r>
    <phoneticPr fontId="10" type="noConversion"/>
  </si>
  <si>
    <t>Default Initialised value</t>
    <phoneticPr fontId="10" type="noConversion"/>
  </si>
  <si>
    <t>DureOS</t>
  </si>
  <si>
    <t>Bit Length</t>
  </si>
  <si>
    <t xml:space="preserve">APIM_CISM </t>
  </si>
  <si>
    <t>APIM_CISM</t>
  </si>
  <si>
    <t xml:space="preserve">SunRoof </t>
  </si>
  <si>
    <t>Message 1</t>
  </si>
  <si>
    <t>APIM_Ctrl</t>
  </si>
  <si>
    <t>SS mode</t>
  </si>
  <si>
    <t>SunRoof_1</t>
  </si>
  <si>
    <t>Report sunshade Relay status</t>
  </si>
  <si>
    <t>Report sunshade Hall sensor status</t>
  </si>
  <si>
    <t>Report sunshade over temperature</t>
  </si>
  <si>
    <t>Frame Name</t>
  </si>
  <si>
    <t>Dure OS</t>
  </si>
  <si>
    <t>Sunroof</t>
  </si>
  <si>
    <t>xxxxx</t>
  </si>
  <si>
    <t>Frame ID</t>
  </si>
  <si>
    <t>TBD</t>
  </si>
  <si>
    <t>topic</t>
  </si>
  <si>
    <t>content</t>
  </si>
  <si>
    <t>wake up</t>
  </si>
  <si>
    <t>position feedback</t>
  </si>
  <si>
    <t>在DureOS无法发唤醒帧的情况下
天窗控制器唤醒后的500ms内不响应动作，500ms内会反馈初始状态信息，500ms后（ECU自身的初始化所需最大时间）反馈正式信息</t>
  </si>
  <si>
    <t>位置反馈精度为 +/-5%
增加未初始化状态的定义:
0x67  Uninitialized
建议当前只使用整数位的位置反馈时，根据反馈的精度DureOS做一下区间的划分，比如15%～25%划分为 20%
百分比为滑动区间的开度百分比，在机械组未到达水平滑动位置前的百分比会与实际测量到的百分比有较大误差</t>
  </si>
  <si>
    <t xml:space="preserve">位置反馈精度为 +/-5%
当整车只需要显示位置10% 20% ～90%时
建议整车，根据反馈的精度DureOS做一下区间的划分，比如16%～25%划分为 20%，26%~35%为30% 依此类推
百分比为滑动区间的开度百分比，在机械组未到达水平滑动位置前的百分比会与实际测量到的百分比有较大误差
</t>
  </si>
  <si>
    <t>位置反馈精度为 +/-5%
增加未初始化状态的定义:
0x65  Uninitialized
建议当前只使用整数位的位置反馈时，根据反馈的精度DureOS做一下区间的划分，比如15%～25%划分为 20%
百分比为滑动区间的开度百分比，在机械组未到达水平滑动位置前的百分比会与实际测量到的百分比有较大误差</t>
  </si>
  <si>
    <t>Dure OS Schedule Table（通信速率 = 10.4Kbps）</t>
  </si>
  <si>
    <t>0x2</t>
  </si>
  <si>
    <t>0x11</t>
  </si>
  <si>
    <t>0x10</t>
  </si>
  <si>
    <t>Report Hall sensor status</t>
  </si>
  <si>
    <t>0x0: normal 
0x1: active</t>
  </si>
  <si>
    <t xml:space="preserve">0x0: Stopped
0x1: Reserved
0x2: Reserved
0x3: Opening slide
0x4: Closing slide
0x5: Reversing(AP/Stall)
0x6: Moving Uninitialized
0x7: Reserved
</t>
    <phoneticPr fontId="10" type="noConversion"/>
  </si>
  <si>
    <t>0x0:not normalized
0x1:normalized</t>
    <phoneticPr fontId="10" type="noConversion"/>
  </si>
  <si>
    <t>0x0: No teach run
0x1: Teach run successful</t>
    <phoneticPr fontId="10" type="noConversion"/>
  </si>
  <si>
    <t>0x0: normal 
0x1: active</t>
    <phoneticPr fontId="10" type="noConversion"/>
  </si>
  <si>
    <t>0x0</t>
    <phoneticPr fontId="17" type="noConversion"/>
  </si>
  <si>
    <t>SunroofDSPLStatusAntiPinch</t>
    <phoneticPr fontId="10" type="noConversion"/>
  </si>
  <si>
    <t>SunroofDSPLStatusPosition</t>
    <phoneticPr fontId="10" type="noConversion"/>
  </si>
  <si>
    <t>SunroofDSPLStatusMovement</t>
    <phoneticPr fontId="10" type="noConversion"/>
  </si>
  <si>
    <t>SunroofDSPLStatusAntiPinchSS</t>
    <phoneticPr fontId="10" type="noConversion"/>
  </si>
  <si>
    <t>SunroofDSPLStatusPositionSS</t>
    <phoneticPr fontId="10" type="noConversion"/>
  </si>
  <si>
    <t>SunroofDSPLStatusMovementSS</t>
    <phoneticPr fontId="10" type="noConversion"/>
  </si>
  <si>
    <t>SunroofDSPLStatusNetwork</t>
    <phoneticPr fontId="10" type="noConversion"/>
  </si>
  <si>
    <t>SunroofDSPLStatusHallSensor</t>
    <phoneticPr fontId="10" type="noConversion"/>
  </si>
  <si>
    <t>SunroofDSPLStatusRelay</t>
    <phoneticPr fontId="10" type="noConversion"/>
  </si>
  <si>
    <t>SunroofDSPLStatusOvertemp</t>
    <phoneticPr fontId="10" type="noConversion"/>
  </si>
  <si>
    <t>SunroofDSPLStatusNormalization</t>
    <phoneticPr fontId="10" type="noConversion"/>
  </si>
  <si>
    <t>SunroofDSPLStatusInitialization</t>
    <phoneticPr fontId="10" type="noConversion"/>
  </si>
  <si>
    <t>SunroofDSPLStatusLearn</t>
    <phoneticPr fontId="10" type="noConversion"/>
  </si>
  <si>
    <t>SunroofDSPLStatusRelaySS</t>
    <phoneticPr fontId="10" type="noConversion"/>
  </si>
  <si>
    <t>SunroofDSPLStatusHallSensorSS</t>
    <phoneticPr fontId="10" type="noConversion"/>
  </si>
  <si>
    <t>SunroofDSPLStatusOvertempSS</t>
    <phoneticPr fontId="10" type="noConversion"/>
  </si>
  <si>
    <t>SunroofDSPLStatusModeSS</t>
    <phoneticPr fontId="10" type="noConversion"/>
  </si>
  <si>
    <t>SunroofDSPLStatusNormalizationSS</t>
    <phoneticPr fontId="10" type="noConversion"/>
  </si>
  <si>
    <t>SunroofDSPLStatusLearnSS</t>
    <phoneticPr fontId="10" type="noConversion"/>
  </si>
  <si>
    <t>0x0: Stopped
0x1: Opening tilt
0x2: Closing tilt
0x3: Opening slide
0x4: Closing slide 
0x5:Reversing (AP/Stall)
0x6: Moving uninitialized
0x7: reserved</t>
    <phoneticPr fontId="10" type="noConversion"/>
  </si>
  <si>
    <t>SunroofDSPLStatusInitializationSS</t>
    <phoneticPr fontId="10" type="noConversion"/>
  </si>
  <si>
    <r>
      <t>0</t>
    </r>
    <r>
      <rPr>
        <sz val="10"/>
        <rFont val="Arial"/>
        <family val="2"/>
      </rPr>
      <t>x28</t>
    </r>
    <phoneticPr fontId="10" type="noConversion"/>
  </si>
  <si>
    <t>0x29</t>
  </si>
  <si>
    <t>0x29</t>
    <phoneticPr fontId="10" type="noConversion"/>
  </si>
  <si>
    <t>0x0:normal(delay ACC = H)
0x1:standby(delay ACC = L)</t>
    <phoneticPr fontId="10" type="noConversion"/>
  </si>
  <si>
    <t>SRLINStatus</t>
    <phoneticPr fontId="10" type="noConversion"/>
  </si>
  <si>
    <t>SunRoof_1</t>
    <phoneticPr fontId="10" type="noConversion"/>
  </si>
  <si>
    <t>not used</t>
    <phoneticPr fontId="14" type="noConversion"/>
  </si>
  <si>
    <t>status of slave node</t>
    <phoneticPr fontId="14" type="noConversion"/>
  </si>
  <si>
    <t>0x00: default value
0x05: reserved</t>
  </si>
  <si>
    <t>SunroofDSPLStatusOvervoltage</t>
    <phoneticPr fontId="14" type="noConversion"/>
  </si>
  <si>
    <t>SunroofDSPLStatusUndervoltage</t>
    <phoneticPr fontId="14" type="noConversion"/>
  </si>
  <si>
    <t>SunroofDSPLStatusOvervoltageSS</t>
    <phoneticPr fontId="14" type="noConversion"/>
  </si>
  <si>
    <t>SunroofDSPLStatusUndervoltageSS</t>
    <phoneticPr fontId="14" type="noConversion"/>
  </si>
  <si>
    <t>SR_APINFO_4</t>
    <phoneticPr fontId="14" type="noConversion"/>
  </si>
  <si>
    <t>天窗</t>
  </si>
  <si>
    <t>天窗全开</t>
  </si>
  <si>
    <t>我想看星星</t>
  </si>
  <si>
    <t>开一点天窗</t>
  </si>
  <si>
    <t>关一点天窗</t>
  </si>
  <si>
    <t>关闭天窗</t>
  </si>
  <si>
    <t>天窗起翘</t>
  </si>
  <si>
    <t>翘起天窗</t>
  </si>
  <si>
    <t>遮阳帘</t>
  </si>
  <si>
    <t>百度指令</t>
    <phoneticPr fontId="23" type="noConversion"/>
  </si>
  <si>
    <t>泛化指令</t>
    <phoneticPr fontId="23" type="noConversion"/>
  </si>
  <si>
    <t>前端反应</t>
    <phoneticPr fontId="23" type="noConversion"/>
  </si>
  <si>
    <t>TTS反馈</t>
    <phoneticPr fontId="23" type="noConversion"/>
  </si>
  <si>
    <t>全开天窗</t>
    <phoneticPr fontId="23" type="noConversion"/>
  </si>
  <si>
    <t>天窗全开</t>
    <phoneticPr fontId="23" type="noConversion"/>
  </si>
  <si>
    <t>天窗已全开</t>
    <phoneticPr fontId="23" type="noConversion"/>
  </si>
  <si>
    <t>我想看月亮/看夜空</t>
    <phoneticPr fontId="23" type="noConversion"/>
  </si>
  <si>
    <t>好的，你可以抬头了</t>
    <phoneticPr fontId="23" type="noConversion"/>
  </si>
  <si>
    <t>打开天窗</t>
    <phoneticPr fontId="23" type="noConversion"/>
  </si>
  <si>
    <t>天窗全关</t>
    <phoneticPr fontId="23" type="noConversion"/>
  </si>
  <si>
    <t>关上/关掉天窗</t>
    <phoneticPr fontId="23" type="noConversion"/>
  </si>
  <si>
    <t>天窗已关闭</t>
    <phoneticPr fontId="23" type="noConversion"/>
  </si>
  <si>
    <t>天窗起翘</t>
    <phoneticPr fontId="23" type="noConversion"/>
  </si>
  <si>
    <t>天窗已翘起</t>
    <phoneticPr fontId="23" type="noConversion"/>
  </si>
  <si>
    <t>翘起天窗</t>
    <phoneticPr fontId="23" type="noConversion"/>
  </si>
  <si>
    <t>透点风/有点闷</t>
    <phoneticPr fontId="23" type="noConversion"/>
  </si>
  <si>
    <t>好的，已为你打开天窗</t>
    <phoneticPr fontId="23" type="noConversion"/>
  </si>
  <si>
    <t>遮阳帘全开</t>
  </si>
  <si>
    <t>遮阳帘全开</t>
    <phoneticPr fontId="23" type="noConversion"/>
  </si>
  <si>
    <t>遮阳帘已打开</t>
    <phoneticPr fontId="23" type="noConversion"/>
  </si>
  <si>
    <t>遮阳帘半开/半关（舒适）</t>
    <phoneticPr fontId="23" type="noConversion"/>
  </si>
  <si>
    <t>打开遮阳帘</t>
    <phoneticPr fontId="23" type="noConversion"/>
  </si>
  <si>
    <t>遮阳帘已半开</t>
    <phoneticPr fontId="23" type="noConversion"/>
  </si>
  <si>
    <t>遮阳帘半开</t>
  </si>
  <si>
    <t>开一点遮阳帘</t>
  </si>
  <si>
    <t>关一点遮阳帘（在全开的时候有效）</t>
    <phoneticPr fontId="23" type="noConversion"/>
  </si>
  <si>
    <t>有点晒</t>
    <phoneticPr fontId="23" type="noConversion"/>
  </si>
  <si>
    <t>好的，已为你打开遮阳帘</t>
    <phoneticPr fontId="23" type="noConversion"/>
  </si>
  <si>
    <t>遮阳帘全关</t>
  </si>
  <si>
    <t>关上/关掉遮阳帘</t>
    <phoneticPr fontId="23" type="noConversion"/>
  </si>
  <si>
    <t>遮阳帘已关闭</t>
    <phoneticPr fontId="23" type="noConversion"/>
  </si>
  <si>
    <t>二级功能</t>
    <phoneticPr fontId="23" type="noConversion"/>
  </si>
  <si>
    <t>控制范围</t>
    <phoneticPr fontId="23" type="noConversion"/>
  </si>
  <si>
    <t>指令基线</t>
    <phoneticPr fontId="23" type="noConversion"/>
  </si>
  <si>
    <t>APIM_sunroof_control</t>
    <phoneticPr fontId="14" type="noConversion"/>
  </si>
  <si>
    <t>APIM_sunshsade_control</t>
    <phoneticPr fontId="14" type="noConversion"/>
  </si>
  <si>
    <t>APIM_sunroof_control;
APIM_sunshsade_control</t>
    <phoneticPr fontId="23" type="noConversion"/>
  </si>
  <si>
    <t>0x0a;
0x00</t>
    <phoneticPr fontId="23" type="noConversion"/>
  </si>
  <si>
    <t xml:space="preserve">天窗已全开
</t>
    <phoneticPr fontId="23" type="noConversion"/>
  </si>
  <si>
    <t>打开天窗（注意该指令对应天窗半开）</t>
    <phoneticPr fontId="23" type="noConversion"/>
  </si>
  <si>
    <t>天窗舒适</t>
    <phoneticPr fontId="23" type="noConversion"/>
  </si>
  <si>
    <t xml:space="preserve">天窗已翘起
</t>
    <phoneticPr fontId="23" type="noConversion"/>
  </si>
  <si>
    <t xml:space="preserve">天窗已关闭
</t>
    <phoneticPr fontId="23" type="noConversion"/>
  </si>
  <si>
    <t xml:space="preserve">遮阳帘已打开
</t>
    <phoneticPr fontId="23" type="noConversion"/>
  </si>
  <si>
    <t xml:space="preserve">遮阳帘已半开
</t>
    <phoneticPr fontId="23" type="noConversion"/>
  </si>
  <si>
    <t xml:space="preserve">遮阳帘已关闭
</t>
    <phoneticPr fontId="23" type="noConversion"/>
  </si>
  <si>
    <t>天窗半开</t>
    <phoneticPr fontId="23" type="noConversion"/>
  </si>
  <si>
    <t>APIM_sunroof_control；
APIM_sunshsade_control</t>
    <phoneticPr fontId="23" type="noConversion"/>
  </si>
  <si>
    <t>0x0d;
0x00</t>
    <phoneticPr fontId="23" type="noConversion"/>
  </si>
  <si>
    <t>LIN_Message_5D</t>
    <phoneticPr fontId="23" type="noConversion"/>
  </si>
  <si>
    <t>LIN_value_5D</t>
    <phoneticPr fontId="10" type="noConversion"/>
  </si>
  <si>
    <t>LIN_Message_4D</t>
    <phoneticPr fontId="23" type="noConversion"/>
  </si>
  <si>
    <t>LIN_value_4D</t>
    <phoneticPr fontId="10" type="noConversion"/>
  </si>
  <si>
    <t>0x0b;
0x00</t>
    <phoneticPr fontId="23" type="noConversion"/>
  </si>
  <si>
    <t>0x0c;
0x00</t>
    <phoneticPr fontId="23" type="noConversion"/>
  </si>
  <si>
    <t>透点风</t>
    <phoneticPr fontId="23" type="noConversion"/>
  </si>
  <si>
    <t>关一点天窗</t>
    <phoneticPr fontId="23" type="noConversion"/>
  </si>
  <si>
    <t>APIM_sunroof_control;
APIM_sunshsade_control</t>
    <phoneticPr fontId="23" type="noConversion"/>
  </si>
  <si>
    <t>0x00;
0x0a;</t>
    <phoneticPr fontId="23" type="noConversion"/>
  </si>
  <si>
    <t>0x00;
0x0c;</t>
    <phoneticPr fontId="23" type="noConversion"/>
  </si>
  <si>
    <t>0x00;
0x0b;</t>
    <phoneticPr fontId="23" type="noConversion"/>
  </si>
  <si>
    <t>打开遮阳帘（注意该指令对应遮阳帘半开）</t>
    <phoneticPr fontId="23" type="noConversion"/>
  </si>
  <si>
    <t>关一点遮阳帘</t>
    <phoneticPr fontId="23" type="noConversion"/>
  </si>
  <si>
    <t>遮阳帘全开</t>
    <phoneticPr fontId="23" type="noConversion"/>
  </si>
  <si>
    <t>关闭遮阳帘</t>
    <phoneticPr fontId="23" type="noConversion"/>
  </si>
  <si>
    <t>开一点遮阳帘</t>
    <phoneticPr fontId="23" type="noConversion"/>
  </si>
  <si>
    <t>Message 2</t>
    <phoneticPr fontId="14" type="noConversion"/>
  </si>
  <si>
    <t>天窗半开</t>
    <phoneticPr fontId="23" type="noConversion"/>
  </si>
  <si>
    <t>n/a</t>
    <phoneticPr fontId="23" type="noConversion"/>
  </si>
  <si>
    <t>0x05;
0x00</t>
    <phoneticPr fontId="23" type="noConversion"/>
  </si>
  <si>
    <t>天窗已打开</t>
    <phoneticPr fontId="23" type="noConversion"/>
  </si>
  <si>
    <t>天窗已打开</t>
    <phoneticPr fontId="23" type="noConversion"/>
  </si>
  <si>
    <t>0x00: no fault
0x01: reset
0x02: reserved
0x03: reserved
0x04: data error
0x05: chechsum error
0x06: byte Field Framing Error
0x07: reserved</t>
  </si>
  <si>
    <r>
      <rPr>
        <sz val="10"/>
        <color rgb="FF0070C0"/>
        <rFont val="Arial"/>
        <family val="2"/>
      </rPr>
      <t>0x00: init</t>
    </r>
    <r>
      <rPr>
        <sz val="10"/>
        <rFont val="Arial"/>
        <family val="2"/>
      </rPr>
      <t xml:space="preserve">
0x01:10%
0x02:20%
0x03:30%
0x04:40%
0x05:50%
0x06:60%
0x07:70%
0x08:80%
0x09:90%
0x0a:Fully open
0x0b: Fully close
0x0c: tilt up
0x0d: Vent area
0x0e: Uninitialized
</t>
    </r>
    <r>
      <rPr>
        <b/>
        <sz val="10"/>
        <color rgb="FF0070C0"/>
        <rFont val="Arial"/>
        <family val="2"/>
      </rPr>
      <t>0xf: comfort</t>
    </r>
  </si>
  <si>
    <r>
      <rPr>
        <b/>
        <sz val="10"/>
        <color rgb="FF0070C0"/>
        <rFont val="Arial"/>
        <family val="2"/>
      </rPr>
      <t>0x00:init</t>
    </r>
    <r>
      <rPr>
        <sz val="10"/>
        <rFont val="Arial"/>
        <family val="2"/>
      </rPr>
      <t xml:space="preserve">
0x01:10%
0x02:20%
0x03:30%
0x04:40%
0x05:50%
0x06:60%
0x07:70%
0x08:80%
0x09:90%
0x0a:Fully open
0x0b: Fully close
0x0e:Uninitialized
0x0f:mid</t>
    </r>
  </si>
  <si>
    <r>
      <t xml:space="preserve">0x00:no action
</t>
    </r>
    <r>
      <rPr>
        <sz val="10"/>
        <color theme="9" tint="-0.249977111117893"/>
        <rFont val="Arial"/>
        <family val="2"/>
      </rPr>
      <t>0x01:10%
0x02:20%
0x03:30%
0x04:40%
0x05:50%</t>
    </r>
    <r>
      <rPr>
        <sz val="10"/>
        <rFont val="Arial"/>
        <family val="2"/>
      </rPr>
      <t xml:space="preserve">
</t>
    </r>
    <r>
      <rPr>
        <sz val="10"/>
        <color theme="9" tint="-0.249977111117893"/>
        <rFont val="Arial"/>
        <family val="2"/>
      </rPr>
      <t>0x06:60%
0x07:70%
0x08:80%
0x09:90%</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t>
    </r>
    <r>
      <rPr>
        <sz val="10"/>
        <color theme="9" tint="-0.249977111117893"/>
        <rFont val="Arial"/>
        <family val="2"/>
      </rPr>
      <t>0x0d: +10%
0x0e: -10%</t>
    </r>
  </si>
  <si>
    <r>
      <t>0x00: no error
0x0</t>
    </r>
    <r>
      <rPr>
        <sz val="10"/>
        <color theme="6" tint="-0.249977111117893"/>
        <rFont val="Arial"/>
        <family val="2"/>
      </rPr>
      <t>1</t>
    </r>
    <r>
      <rPr>
        <sz val="10"/>
        <rFont val="Arial"/>
        <family val="2"/>
      </rPr>
      <t>: under voltage</t>
    </r>
  </si>
  <si>
    <r>
      <t>0x0: no error
0x</t>
    </r>
    <r>
      <rPr>
        <sz val="10"/>
        <color theme="6" tint="-0.249977111117893"/>
        <rFont val="Arial"/>
        <family val="2"/>
      </rPr>
      <t>0</t>
    </r>
    <r>
      <rPr>
        <sz val="10"/>
        <rFont val="Arial"/>
        <family val="2"/>
      </rPr>
      <t>1: over voltage</t>
    </r>
  </si>
  <si>
    <t>SROvervoltage</t>
    <phoneticPr fontId="14" type="noConversion"/>
  </si>
  <si>
    <t>SRUndervoltage</t>
    <phoneticPr fontId="14" type="noConversion"/>
  </si>
  <si>
    <t>SSOvervoltage</t>
    <phoneticPr fontId="14" type="noConversion"/>
  </si>
  <si>
    <t>SSUndervoltage</t>
    <phoneticPr fontId="14" type="noConversion"/>
  </si>
  <si>
    <r>
      <t xml:space="preserve">0x00:no action
</t>
    </r>
    <r>
      <rPr>
        <sz val="10"/>
        <color theme="9" tint="-0.249977111117893"/>
        <rFont val="Arial"/>
        <family val="2"/>
      </rPr>
      <t>0x01:10%
0x02:20%
0x03:30%
0x04:40%</t>
    </r>
    <r>
      <rPr>
        <strike/>
        <sz val="10"/>
        <color theme="9" tint="-0.249977111117893"/>
        <rFont val="Arial"/>
        <family val="2"/>
      </rPr>
      <t xml:space="preserve">
</t>
    </r>
    <r>
      <rPr>
        <sz val="10"/>
        <color theme="9" tint="-0.249977111117893"/>
        <rFont val="Arial"/>
        <family val="2"/>
      </rPr>
      <t>0x05:50%
0x06:60%
0x07:70%
0x08:80%
0x09:90%</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t>
    </r>
    <r>
      <rPr>
        <sz val="10"/>
        <color theme="9" tint="-0.249977111117893"/>
        <rFont val="Arial"/>
        <family val="2"/>
      </rPr>
      <t xml:space="preserve">0x0e:+10%
</t>
    </r>
    <r>
      <rPr>
        <b/>
        <sz val="10"/>
        <color theme="9" tint="-0.249977111117893"/>
        <rFont val="Arial"/>
        <family val="2"/>
      </rPr>
      <t>0x0f: -10%</t>
    </r>
    <phoneticPr fontId="14" type="noConversion"/>
  </si>
  <si>
    <t>Before change</t>
    <phoneticPr fontId="10" type="noConversion"/>
  </si>
  <si>
    <t>After change</t>
    <phoneticPr fontId="10" type="noConversion"/>
  </si>
  <si>
    <t>SR_APINFO_0</t>
    <phoneticPr fontId="14" type="noConversion"/>
  </si>
  <si>
    <t>SR_APINFO_1</t>
  </si>
  <si>
    <t>SR_APINFO_2</t>
  </si>
  <si>
    <t>SR_APINFO_3</t>
  </si>
  <si>
    <t>Date</t>
    <phoneticPr fontId="14" type="noConversion"/>
  </si>
  <si>
    <t>ChangeContent</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</si>
</sst>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809]dd\ mmmm\ yyyy;@"/>
  </numFmts>
  <fonts count="36">
    <font>
      <sz val="10"/>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0"/>
      <name val="Arial"/>
      <family val="2"/>
    </font>
    <font>
      <b/>
      <sz val="12"/>
      <name val="Arial"/>
      <family val="2"/>
    </font>
    <font>
      <sz val="9"/>
      <name val="宋体"/>
      <family val="3"/>
      <charset val="134"/>
    </font>
    <font>
      <sz val="10"/>
      <color theme="1"/>
      <name val="Arial"/>
      <family val="2"/>
    </font>
    <font>
      <sz val="12"/>
      <name val="宋体"/>
      <family val="3"/>
      <charset val="134"/>
    </font>
    <font>
      <b/>
      <sz val="10"/>
      <name val="Arial"/>
      <family val="2"/>
    </font>
    <font>
      <sz val="10"/>
      <name val="MS Sans Serif"/>
      <family val="2"/>
    </font>
    <font>
      <sz val="12"/>
      <color theme="1"/>
      <name val="Arial"/>
      <family val="2"/>
    </font>
    <font>
      <sz val="10"/>
      <color theme="1"/>
      <name val="宋体"/>
      <family val="3"/>
      <charset val="134"/>
    </font>
    <font>
      <sz val="9"/>
      <name val="宋体"/>
      <family val="3"/>
      <charset val="134"/>
      <scheme val="minor"/>
    </font>
    <font>
      <sz val="11"/>
      <color theme="1"/>
      <name val="宋体"/>
      <family val="2"/>
      <scheme val="minor"/>
    </font>
    <font>
      <sz val="11"/>
      <name val="ＭＳ Ｐゴシック"/>
      <family val="2"/>
      <charset val="128"/>
    </font>
    <font>
      <b/>
      <sz val="10"/>
      <color theme="1"/>
      <name val="Arial"/>
      <family val="2"/>
    </font>
    <font>
      <sz val="10"/>
      <color rgb="FF7030A0"/>
      <name val="微软雅黑"/>
      <family val="2"/>
      <charset val="134"/>
    </font>
    <font>
      <b/>
      <sz val="10"/>
      <color rgb="FF00B050"/>
      <name val="微软雅黑"/>
      <family val="2"/>
      <charset val="134"/>
    </font>
    <font>
      <sz val="9"/>
      <name val="宋体"/>
      <family val="2"/>
      <charset val="134"/>
      <scheme val="minor"/>
    </font>
    <font>
      <b/>
      <sz val="10"/>
      <color rgb="FFFF0000"/>
      <name val="Arial"/>
      <family val="2"/>
    </font>
    <font>
      <strike/>
      <sz val="10"/>
      <color rgb="FF7030A0"/>
      <name val="微软雅黑"/>
      <family val="2"/>
      <charset val="134"/>
    </font>
    <font>
      <strike/>
      <sz val="10"/>
      <name val="Arial"/>
      <family val="2"/>
    </font>
    <font>
      <sz val="10"/>
      <color rgb="FF0070C0"/>
      <name val="Arial"/>
      <family val="2"/>
    </font>
    <font>
      <sz val="12"/>
      <color indexed="8"/>
      <name val="宋体"/>
      <family val="2"/>
      <scheme val="minor"/>
    </font>
    <font>
      <b/>
      <sz val="10"/>
      <color rgb="FF0070C0"/>
      <name val="Arial"/>
      <family val="2"/>
    </font>
    <font>
      <sz val="14"/>
      <color rgb="FF0070C0"/>
      <name val="Verdana"/>
      <family val="2"/>
    </font>
    <font>
      <b/>
      <sz val="12"/>
      <color rgb="FF0070C0"/>
      <name val="Arial"/>
      <family val="2"/>
    </font>
    <font>
      <sz val="10"/>
      <color theme="9" tint="-0.249977111117893"/>
      <name val="Arial"/>
      <family val="2"/>
    </font>
    <font>
      <strike/>
      <sz val="10"/>
      <color theme="9" tint="-0.249977111117893"/>
      <name val="Arial"/>
      <family val="2"/>
    </font>
    <font>
      <b/>
      <sz val="10"/>
      <color theme="9" tint="-0.249977111117893"/>
      <name val="Arial"/>
      <family val="2"/>
    </font>
    <font>
      <sz val="10"/>
      <color theme="6" tint="-0.249977111117893"/>
      <name val="Arial"/>
      <family val="2"/>
    </font>
  </fonts>
  <fills count="10">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
      <patternFill patternType="solid">
        <fgColor theme="2" tint="-0.49998474074526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50">
    <xf numFmtId="176" fontId="0" fillId="0" borderId="0"/>
    <xf numFmtId="176" fontId="12" fillId="0" borderId="0"/>
    <xf numFmtId="176" fontId="14" fillId="0" borderId="0"/>
    <xf numFmtId="176" fontId="8" fillId="0" borderId="0"/>
    <xf numFmtId="176" fontId="8" fillId="0" borderId="0">
      <alignment vertical="center"/>
    </xf>
    <xf numFmtId="176" fontId="8" fillId="0" borderId="0"/>
    <xf numFmtId="176" fontId="8" fillId="0" borderId="0"/>
    <xf numFmtId="176" fontId="8" fillId="0" borderId="0"/>
    <xf numFmtId="176" fontId="12" fillId="0" borderId="0"/>
    <xf numFmtId="176" fontId="8" fillId="0" borderId="0">
      <alignment vertical="center"/>
    </xf>
    <xf numFmtId="176" fontId="8" fillId="0" borderId="0"/>
    <xf numFmtId="176" fontId="8" fillId="0" borderId="0"/>
    <xf numFmtId="176" fontId="12" fillId="0" borderId="0"/>
    <xf numFmtId="176" fontId="8" fillId="0" borderId="0"/>
    <xf numFmtId="176" fontId="8" fillId="0" borderId="0">
      <alignment vertical="center"/>
    </xf>
    <xf numFmtId="176" fontId="8" fillId="0" borderId="0"/>
    <xf numFmtId="176" fontId="8" fillId="0" borderId="0"/>
    <xf numFmtId="176" fontId="8" fillId="0" borderId="0"/>
    <xf numFmtId="176" fontId="12" fillId="0" borderId="0"/>
    <xf numFmtId="176" fontId="8" fillId="0" borderId="0">
      <alignment vertical="center"/>
    </xf>
    <xf numFmtId="176" fontId="8" fillId="0" borderId="0"/>
    <xf numFmtId="176" fontId="18" fillId="0" borderId="0"/>
    <xf numFmtId="176" fontId="8" fillId="0" borderId="0"/>
    <xf numFmtId="176" fontId="8" fillId="0" borderId="0"/>
    <xf numFmtId="176" fontId="8" fillId="0" borderId="0"/>
    <xf numFmtId="176" fontId="7" fillId="0" borderId="0">
      <alignment vertical="center"/>
    </xf>
    <xf numFmtId="176" fontId="8" fillId="0" borderId="0"/>
    <xf numFmtId="176" fontId="8" fillId="0" borderId="0"/>
    <xf numFmtId="176" fontId="6" fillId="0" borderId="0">
      <alignment vertical="center"/>
    </xf>
    <xf numFmtId="176" fontId="8" fillId="0" borderId="0"/>
    <xf numFmtId="176" fontId="6" fillId="0" borderId="0">
      <alignment vertical="center"/>
    </xf>
    <xf numFmtId="176" fontId="8" fillId="0" borderId="0">
      <alignment vertical="center"/>
    </xf>
    <xf numFmtId="176" fontId="8" fillId="0" borderId="0"/>
    <xf numFmtId="176" fontId="5" fillId="0" borderId="0">
      <alignment vertical="center"/>
    </xf>
    <xf numFmtId="176" fontId="18" fillId="0" borderId="0"/>
    <xf numFmtId="176" fontId="8" fillId="0" borderId="0"/>
    <xf numFmtId="176" fontId="19" fillId="0" borderId="0"/>
    <xf numFmtId="176" fontId="19" fillId="0" borderId="0">
      <alignment vertical="center"/>
    </xf>
    <xf numFmtId="176" fontId="5" fillId="0" borderId="0">
      <alignment vertical="center"/>
    </xf>
    <xf numFmtId="176" fontId="8" fillId="0" borderId="0"/>
    <xf numFmtId="176" fontId="8" fillId="0" borderId="0"/>
    <xf numFmtId="176" fontId="5" fillId="0" borderId="0">
      <alignment vertical="center"/>
    </xf>
    <xf numFmtId="176" fontId="5" fillId="0" borderId="0">
      <alignment vertical="center"/>
    </xf>
    <xf numFmtId="176" fontId="8" fillId="0" borderId="0">
      <alignment vertical="center"/>
    </xf>
    <xf numFmtId="176" fontId="8" fillId="0" borderId="0">
      <alignment vertical="center"/>
    </xf>
    <xf numFmtId="176" fontId="8" fillId="0" borderId="0"/>
    <xf numFmtId="176" fontId="8" fillId="0" borderId="0"/>
    <xf numFmtId="176" fontId="8" fillId="0" borderId="0"/>
    <xf numFmtId="176" fontId="8" fillId="0" borderId="0"/>
    <xf numFmtId="0" fontId="28" fillId="0" borderId="0"/>
  </cellStyleXfs>
  <cellXfs count="121">
    <xf numFmtId="176" fontId="0" fillId="0" borderId="0" xfId="0"/>
    <xf numFmtId="0" fontId="15" fillId="0" borderId="1" xfId="0" applyNumberFormat="1" applyFont="1" applyFill="1" applyBorder="1" applyAlignment="1">
      <alignment horizontal="center" wrapText="1"/>
    </xf>
    <xf numFmtId="0" fontId="11" fillId="0" borderId="1" xfId="0" applyNumberFormat="1" applyFont="1" applyFill="1" applyBorder="1" applyAlignment="1">
      <alignment horizontal="center" wrapText="1"/>
    </xf>
    <xf numFmtId="0" fontId="11" fillId="0" borderId="1" xfId="0" applyNumberFormat="1" applyFont="1" applyFill="1" applyBorder="1" applyAlignment="1">
      <alignment horizontal="left" wrapText="1"/>
    </xf>
    <xf numFmtId="0" fontId="11" fillId="0" borderId="1" xfId="0" applyNumberFormat="1" applyFont="1" applyFill="1" applyBorder="1" applyAlignment="1">
      <alignment horizontal="center"/>
    </xf>
    <xf numFmtId="0" fontId="11" fillId="0" borderId="0" xfId="0" applyNumberFormat="1" applyFont="1" applyFill="1" applyBorder="1" applyAlignment="1">
      <alignment horizontal="center"/>
    </xf>
    <xf numFmtId="0" fontId="0" fillId="0" borderId="1" xfId="0" applyNumberFormat="1" applyFill="1" applyBorder="1" applyAlignment="1">
      <alignment horizontal="left" wrapText="1"/>
    </xf>
    <xf numFmtId="0" fontId="0" fillId="0" borderId="0" xfId="0" applyNumberFormat="1" applyFill="1" applyBorder="1" applyAlignment="1">
      <alignment horizontal="center"/>
    </xf>
    <xf numFmtId="0" fontId="11" fillId="0" borderId="1" xfId="2" applyNumberFormat="1" applyFont="1" applyFill="1" applyBorder="1" applyAlignment="1">
      <alignment horizontal="center" wrapText="1"/>
    </xf>
    <xf numFmtId="0" fontId="0" fillId="0" borderId="1" xfId="0" applyNumberFormat="1" applyFill="1" applyBorder="1" applyAlignment="1">
      <alignment horizontal="center"/>
    </xf>
    <xf numFmtId="0" fontId="0" fillId="0" borderId="1" xfId="0" applyNumberFormat="1" applyFont="1" applyFill="1" applyBorder="1" applyAlignment="1">
      <alignment horizontal="center"/>
    </xf>
    <xf numFmtId="0" fontId="0" fillId="0" borderId="0" xfId="0" applyNumberFormat="1" applyFill="1" applyBorder="1" applyAlignment="1">
      <alignment horizontal="left"/>
    </xf>
    <xf numFmtId="0" fontId="13" fillId="2" borderId="1" xfId="0" applyNumberFormat="1" applyFont="1" applyFill="1" applyBorder="1" applyAlignment="1">
      <alignment horizontal="center" textRotation="90" wrapText="1"/>
    </xf>
    <xf numFmtId="0" fontId="0" fillId="0" borderId="1" xfId="2" applyNumberFormat="1" applyFont="1" applyFill="1" applyBorder="1" applyAlignment="1">
      <alignment horizontal="center"/>
    </xf>
    <xf numFmtId="0" fontId="8" fillId="0" borderId="1" xfId="0" applyNumberFormat="1" applyFont="1" applyFill="1" applyBorder="1" applyAlignment="1">
      <alignment horizontal="center"/>
    </xf>
    <xf numFmtId="0" fontId="8" fillId="0" borderId="1" xfId="2" applyNumberFormat="1" applyFont="1" applyFill="1" applyBorder="1" applyAlignment="1">
      <alignment horizontal="center" wrapText="1"/>
    </xf>
    <xf numFmtId="0" fontId="0" fillId="0" borderId="0" xfId="0" applyNumberFormat="1" applyFill="1" applyAlignment="1">
      <alignment horizontal="center"/>
    </xf>
    <xf numFmtId="0" fontId="11" fillId="0" borderId="0" xfId="0" applyNumberFormat="1" applyFont="1" applyFill="1" applyBorder="1" applyAlignment="1"/>
    <xf numFmtId="0" fontId="11" fillId="0" borderId="1" xfId="29" applyNumberFormat="1" applyFont="1" applyFill="1" applyBorder="1" applyAlignment="1">
      <alignment horizontal="left" wrapText="1"/>
    </xf>
    <xf numFmtId="0" fontId="11" fillId="0" borderId="1" xfId="29" applyNumberFormat="1" applyFont="1" applyFill="1" applyBorder="1" applyAlignment="1">
      <alignment horizontal="center" wrapText="1"/>
    </xf>
    <xf numFmtId="0" fontId="0" fillId="0" borderId="1" xfId="2" applyNumberFormat="1" applyFont="1" applyFill="1" applyBorder="1" applyAlignment="1">
      <alignment horizontal="center" wrapText="1"/>
    </xf>
    <xf numFmtId="0" fontId="8" fillId="0" borderId="1" xfId="29" applyNumberFormat="1" applyFont="1" applyFill="1" applyBorder="1" applyAlignment="1">
      <alignment horizontal="center" wrapText="1"/>
    </xf>
    <xf numFmtId="0" fontId="8" fillId="0" borderId="1" xfId="29" applyNumberFormat="1" applyFill="1" applyBorder="1" applyAlignment="1">
      <alignment horizontal="left" wrapText="1"/>
    </xf>
    <xf numFmtId="0" fontId="8" fillId="0" borderId="1" xfId="2" applyNumberFormat="1" applyFont="1" applyFill="1" applyBorder="1" applyAlignment="1">
      <alignment horizontal="center"/>
    </xf>
    <xf numFmtId="0" fontId="16" fillId="0" borderId="1" xfId="0" applyNumberFormat="1" applyFont="1" applyFill="1" applyBorder="1" applyAlignment="1">
      <alignment horizontal="center" wrapText="1"/>
    </xf>
    <xf numFmtId="0" fontId="11" fillId="0" borderId="0" xfId="0" applyNumberFormat="1" applyFont="1" applyFill="1" applyBorder="1" applyAlignment="1">
      <alignment horizontal="center" wrapText="1"/>
    </xf>
    <xf numFmtId="0" fontId="0" fillId="0" borderId="0" xfId="0" applyNumberFormat="1" applyAlignment="1">
      <alignment vertical="center"/>
    </xf>
    <xf numFmtId="0" fontId="0" fillId="0" borderId="0" xfId="0" applyNumberFormat="1" applyBorder="1" applyAlignment="1">
      <alignment horizontal="center" vertical="center"/>
    </xf>
    <xf numFmtId="0" fontId="9" fillId="2" borderId="1" xfId="0" applyNumberFormat="1" applyFont="1" applyFill="1" applyBorder="1" applyAlignment="1">
      <alignment horizontal="center" vertical="center"/>
    </xf>
    <xf numFmtId="0" fontId="0" fillId="0" borderId="1" xfId="0" applyNumberFormat="1" applyBorder="1" applyAlignment="1">
      <alignment horizontal="center" vertical="center"/>
    </xf>
    <xf numFmtId="0" fontId="4" fillId="0" borderId="1" xfId="2" applyNumberFormat="1" applyFont="1" applyFill="1" applyBorder="1" applyAlignment="1">
      <alignment horizontal="center" wrapText="1"/>
    </xf>
    <xf numFmtId="0" fontId="4" fillId="0" borderId="1" xfId="2" applyNumberFormat="1" applyFont="1" applyFill="1" applyBorder="1" applyAlignment="1">
      <alignment horizontal="center"/>
    </xf>
    <xf numFmtId="0" fontId="4" fillId="0" borderId="1" xfId="0" applyNumberFormat="1" applyFont="1" applyFill="1" applyBorder="1" applyAlignment="1">
      <alignment horizontal="left" wrapText="1"/>
    </xf>
    <xf numFmtId="0" fontId="4" fillId="0" borderId="1" xfId="0" applyNumberFormat="1" applyFont="1" applyFill="1" applyBorder="1" applyAlignment="1">
      <alignment horizontal="center"/>
    </xf>
    <xf numFmtId="0" fontId="0" fillId="0" borderId="0" xfId="0" applyNumberFormat="1"/>
    <xf numFmtId="176" fontId="0" fillId="0" borderId="0" xfId="0" applyAlignment="1">
      <alignment vertical="center"/>
    </xf>
    <xf numFmtId="176" fontId="0" fillId="0" borderId="1" xfId="0" applyBorder="1"/>
    <xf numFmtId="0" fontId="0" fillId="0" borderId="1" xfId="0" applyNumberFormat="1" applyBorder="1"/>
    <xf numFmtId="0" fontId="0" fillId="0" borderId="1" xfId="0" applyNumberFormat="1" applyBorder="1" applyAlignment="1">
      <alignment vertical="center"/>
    </xf>
    <xf numFmtId="176" fontId="0" fillId="0" borderId="1" xfId="0" applyBorder="1" applyAlignment="1">
      <alignment vertical="center" wrapText="1"/>
    </xf>
    <xf numFmtId="176" fontId="0" fillId="0" borderId="1" xfId="0" applyBorder="1" applyAlignment="1">
      <alignment wrapText="1"/>
    </xf>
    <xf numFmtId="0" fontId="11" fillId="0" borderId="1" xfId="0" applyNumberFormat="1" applyFont="1" applyFill="1" applyBorder="1" applyAlignment="1">
      <alignment horizontal="left" vertical="top" wrapText="1"/>
    </xf>
    <xf numFmtId="0" fontId="3" fillId="0" borderId="1" xfId="0" applyNumberFormat="1" applyFont="1" applyFill="1" applyBorder="1" applyAlignment="1">
      <alignment horizontal="center"/>
    </xf>
    <xf numFmtId="0" fontId="2" fillId="0" borderId="1" xfId="0" applyNumberFormat="1" applyFont="1" applyFill="1" applyBorder="1" applyAlignment="1">
      <alignment horizontal="left" wrapText="1"/>
    </xf>
    <xf numFmtId="0" fontId="0" fillId="0" borderId="1" xfId="2" applyNumberFormat="1" applyFont="1" applyFill="1" applyBorder="1" applyAlignment="1">
      <alignment horizontal="left" wrapText="1"/>
    </xf>
    <xf numFmtId="0" fontId="4" fillId="0" borderId="1" xfId="0" applyNumberFormat="1" applyFont="1" applyFill="1" applyBorder="1" applyAlignment="1">
      <alignment horizontal="center" vertical="center" wrapText="1"/>
    </xf>
    <xf numFmtId="0" fontId="4" fillId="0" borderId="1" xfId="0" applyNumberFormat="1" applyFont="1" applyFill="1" applyBorder="1" applyAlignment="1">
      <alignment horizontal="left" vertical="top" wrapText="1"/>
    </xf>
    <xf numFmtId="0" fontId="1" fillId="0" borderId="1" xfId="2" applyNumberFormat="1" applyFont="1" applyFill="1" applyBorder="1" applyAlignment="1">
      <alignment horizontal="left" wrapText="1"/>
    </xf>
    <xf numFmtId="0" fontId="1" fillId="0" borderId="1" xfId="0" applyNumberFormat="1" applyFont="1" applyFill="1" applyBorder="1" applyAlignment="1">
      <alignment horizontal="left" wrapText="1"/>
    </xf>
    <xf numFmtId="0" fontId="1" fillId="0" borderId="1" xfId="29" applyNumberFormat="1" applyFont="1" applyFill="1" applyBorder="1" applyAlignment="1">
      <alignment horizontal="left" wrapText="1"/>
    </xf>
    <xf numFmtId="0" fontId="1" fillId="0" borderId="1" xfId="2" applyNumberFormat="1" applyFont="1" applyFill="1" applyBorder="1" applyAlignment="1">
      <alignment horizontal="center"/>
    </xf>
    <xf numFmtId="0" fontId="1" fillId="0" borderId="1" xfId="2" applyNumberFormat="1" applyFont="1" applyFill="1" applyBorder="1" applyAlignment="1">
      <alignment horizontal="center" wrapText="1"/>
    </xf>
    <xf numFmtId="0" fontId="0" fillId="0" borderId="1" xfId="0" applyNumberFormat="1" applyFont="1" applyFill="1" applyBorder="1" applyAlignment="1">
      <alignment horizontal="left" wrapText="1"/>
    </xf>
    <xf numFmtId="0" fontId="0" fillId="0" borderId="0" xfId="0" applyNumberFormat="1" applyFill="1" applyBorder="1" applyAlignment="1">
      <alignment horizontal="left" wrapText="1"/>
    </xf>
    <xf numFmtId="0" fontId="20" fillId="0" borderId="1" xfId="0" applyNumberFormat="1" applyFont="1" applyFill="1" applyBorder="1" applyAlignment="1">
      <alignment horizontal="left" wrapText="1"/>
    </xf>
    <xf numFmtId="0" fontId="15" fillId="0" borderId="1" xfId="0" applyNumberFormat="1" applyFont="1" applyFill="1" applyBorder="1" applyAlignment="1">
      <alignment horizontal="left" wrapText="1"/>
    </xf>
    <xf numFmtId="0" fontId="4" fillId="0" borderId="1" xfId="2" applyNumberFormat="1" applyFont="1" applyFill="1" applyBorder="1" applyAlignment="1">
      <alignment horizontal="left" wrapText="1"/>
    </xf>
    <xf numFmtId="0" fontId="1" fillId="0" borderId="1" xfId="2" applyNumberFormat="1" applyFont="1" applyFill="1" applyBorder="1" applyAlignment="1">
      <alignment horizontal="left" vertical="top" wrapText="1"/>
    </xf>
    <xf numFmtId="176" fontId="22" fillId="4" borderId="1" xfId="0" applyFont="1" applyFill="1" applyBorder="1" applyAlignment="1">
      <alignment horizontal="center" vertical="center" wrapText="1"/>
    </xf>
    <xf numFmtId="176" fontId="21" fillId="0" borderId="1" xfId="0" applyFont="1" applyFill="1" applyBorder="1" applyAlignment="1">
      <alignment horizontal="left" vertical="center" wrapText="1"/>
    </xf>
    <xf numFmtId="176" fontId="21" fillId="0" borderId="1" xfId="0" applyFont="1" applyFill="1" applyBorder="1" applyAlignment="1">
      <alignment horizontal="center" vertical="center" wrapText="1"/>
    </xf>
    <xf numFmtId="176" fontId="21" fillId="0" borderId="5" xfId="0" applyFont="1" applyFill="1" applyBorder="1" applyAlignment="1">
      <alignment horizontal="left" vertical="center" wrapText="1"/>
    </xf>
    <xf numFmtId="176" fontId="21" fillId="0" borderId="4" xfId="0" applyFont="1" applyFill="1" applyBorder="1" applyAlignment="1">
      <alignment horizontal="left" vertical="center" wrapText="1"/>
    </xf>
    <xf numFmtId="176" fontId="22" fillId="4" borderId="6" xfId="0" applyFont="1" applyFill="1" applyBorder="1" applyAlignment="1">
      <alignment horizontal="center" vertical="center" wrapText="1"/>
    </xf>
    <xf numFmtId="176" fontId="21" fillId="0" borderId="4" xfId="0" applyFont="1" applyFill="1" applyBorder="1" applyAlignment="1">
      <alignment horizontal="left" vertical="center" wrapText="1"/>
    </xf>
    <xf numFmtId="176" fontId="21" fillId="6" borderId="1" xfId="0" applyFont="1" applyFill="1" applyBorder="1" applyAlignment="1">
      <alignment horizontal="left" vertical="center" wrapText="1"/>
    </xf>
    <xf numFmtId="0" fontId="0" fillId="7" borderId="1" xfId="0" applyNumberFormat="1" applyFill="1" applyBorder="1" applyAlignment="1">
      <alignment vertical="center"/>
    </xf>
    <xf numFmtId="0" fontId="0" fillId="8" borderId="0" xfId="0" applyNumberFormat="1" applyFill="1" applyAlignment="1">
      <alignment vertical="center"/>
    </xf>
    <xf numFmtId="0" fontId="0" fillId="0" borderId="1" xfId="2" applyNumberFormat="1" applyFont="1" applyFill="1" applyBorder="1" applyAlignment="1">
      <alignment horizontal="left" vertical="top" wrapText="1"/>
    </xf>
    <xf numFmtId="176" fontId="25" fillId="0" borderId="1" xfId="0" applyFont="1" applyFill="1" applyBorder="1" applyAlignment="1">
      <alignment horizontal="left" vertical="center" wrapText="1"/>
    </xf>
    <xf numFmtId="176" fontId="25" fillId="6" borderId="1" xfId="0" applyFont="1" applyFill="1" applyBorder="1" applyAlignment="1">
      <alignment horizontal="left" vertical="center" wrapText="1"/>
    </xf>
    <xf numFmtId="176" fontId="21" fillId="0" borderId="1" xfId="0" applyFont="1" applyFill="1" applyBorder="1" applyAlignment="1">
      <alignment vertical="center" wrapText="1"/>
    </xf>
    <xf numFmtId="0" fontId="27" fillId="0" borderId="10" xfId="49" applyFont="1" applyBorder="1" applyAlignment="1">
      <alignment horizontal="left" wrapText="1"/>
    </xf>
    <xf numFmtId="0" fontId="31" fillId="2" borderId="1" xfId="0" applyNumberFormat="1" applyFont="1" applyFill="1" applyBorder="1" applyAlignment="1">
      <alignment horizontal="center" vertical="center"/>
    </xf>
    <xf numFmtId="0" fontId="27" fillId="0" borderId="1" xfId="0" applyNumberFormat="1" applyFont="1" applyBorder="1" applyAlignment="1">
      <alignment horizontal="center" vertical="center"/>
    </xf>
    <xf numFmtId="0" fontId="13" fillId="2" borderId="2" xfId="0" applyNumberFormat="1" applyFont="1" applyFill="1" applyBorder="1" applyAlignment="1">
      <alignment horizontal="center" wrapText="1"/>
    </xf>
    <xf numFmtId="0" fontId="13" fillId="2" borderId="1" xfId="0" applyNumberFormat="1" applyFont="1" applyFill="1" applyBorder="1" applyAlignment="1">
      <alignment horizontal="center" wrapText="1"/>
    </xf>
    <xf numFmtId="0" fontId="13" fillId="2" borderId="2" xfId="0" applyNumberFormat="1" applyFont="1" applyFill="1" applyBorder="1" applyAlignment="1">
      <alignment horizontal="center"/>
    </xf>
    <xf numFmtId="0" fontId="13" fillId="2" borderId="1" xfId="0" applyNumberFormat="1" applyFont="1" applyFill="1" applyBorder="1" applyAlignment="1">
      <alignment horizontal="center"/>
    </xf>
    <xf numFmtId="0" fontId="13" fillId="2" borderId="2" xfId="0" applyNumberFormat="1" applyFont="1" applyFill="1" applyBorder="1" applyAlignment="1">
      <alignment horizontal="center" wrapText="1"/>
    </xf>
    <xf numFmtId="0" fontId="13" fillId="2" borderId="1" xfId="0" applyNumberFormat="1" applyFont="1" applyFill="1" applyBorder="1" applyAlignment="1">
      <alignment horizontal="center" wrapText="1"/>
    </xf>
    <xf numFmtId="0" fontId="13" fillId="2" borderId="2" xfId="0" applyNumberFormat="1" applyFont="1" applyFill="1" applyBorder="1" applyAlignment="1">
      <alignment horizontal="center"/>
    </xf>
    <xf numFmtId="0" fontId="13" fillId="2" borderId="1" xfId="0" applyNumberFormat="1" applyFont="1" applyFill="1" applyBorder="1" applyAlignment="1">
      <alignment horizontal="center"/>
    </xf>
    <xf numFmtId="0" fontId="20" fillId="3" borderId="7" xfId="0" applyNumberFormat="1" applyFont="1" applyFill="1" applyBorder="1" applyAlignment="1">
      <alignment horizontal="left" wrapText="1"/>
    </xf>
    <xf numFmtId="0" fontId="15" fillId="3" borderId="8" xfId="0" applyNumberFormat="1" applyFont="1" applyFill="1" applyBorder="1" applyAlignment="1">
      <alignment horizontal="left" wrapText="1"/>
    </xf>
    <xf numFmtId="0" fontId="15" fillId="3" borderId="9" xfId="0" applyNumberFormat="1" applyFont="1" applyFill="1" applyBorder="1" applyAlignment="1">
      <alignment horizontal="left" wrapText="1"/>
    </xf>
    <xf numFmtId="0" fontId="20" fillId="0" borderId="7" xfId="0" applyNumberFormat="1" applyFont="1" applyFill="1" applyBorder="1" applyAlignment="1">
      <alignment horizontal="left" wrapText="1"/>
    </xf>
    <xf numFmtId="0" fontId="15" fillId="0" borderId="8" xfId="0" applyNumberFormat="1" applyFont="1" applyFill="1" applyBorder="1" applyAlignment="1">
      <alignment horizontal="left" wrapText="1"/>
    </xf>
    <xf numFmtId="0" fontId="15" fillId="0" borderId="9" xfId="0" applyNumberFormat="1" applyFont="1" applyFill="1" applyBorder="1" applyAlignment="1">
      <alignment horizontal="left" wrapText="1"/>
    </xf>
    <xf numFmtId="0" fontId="30" fillId="0" borderId="3" xfId="0" applyNumberFormat="1" applyFont="1" applyBorder="1" applyAlignment="1">
      <alignment horizontal="center" vertical="center"/>
    </xf>
    <xf numFmtId="0" fontId="27" fillId="0" borderId="5" xfId="0" applyNumberFormat="1" applyFont="1" applyBorder="1" applyAlignment="1">
      <alignment horizontal="center" vertical="center"/>
    </xf>
    <xf numFmtId="0" fontId="27" fillId="0" borderId="6" xfId="0" applyNumberFormat="1" applyFont="1" applyBorder="1" applyAlignment="1">
      <alignment horizontal="center" vertical="center"/>
    </xf>
    <xf numFmtId="0" fontId="27" fillId="0" borderId="4" xfId="0" applyNumberFormat="1" applyFont="1" applyBorder="1" applyAlignment="1">
      <alignment horizontal="center" vertical="center"/>
    </xf>
    <xf numFmtId="0" fontId="0" fillId="0" borderId="5" xfId="0" applyNumberFormat="1" applyBorder="1" applyAlignment="1">
      <alignment horizontal="center" vertical="center"/>
    </xf>
    <xf numFmtId="0" fontId="0" fillId="0" borderId="6" xfId="0" applyNumberFormat="1" applyBorder="1" applyAlignment="1">
      <alignment horizontal="center" vertical="center"/>
    </xf>
    <xf numFmtId="0" fontId="0" fillId="0" borderId="4" xfId="0" applyNumberFormat="1" applyBorder="1" applyAlignment="1">
      <alignment horizontal="center" vertical="center"/>
    </xf>
    <xf numFmtId="176" fontId="21" fillId="0" borderId="1" xfId="0" applyFont="1" applyFill="1" applyBorder="1" applyAlignment="1">
      <alignment horizontal="center" vertical="top" wrapText="1"/>
    </xf>
    <xf numFmtId="176" fontId="21" fillId="0" borderId="1" xfId="0" applyFont="1" applyFill="1" applyBorder="1" applyAlignment="1">
      <alignment horizontal="center" vertical="center" wrapText="1"/>
    </xf>
    <xf numFmtId="176" fontId="21" fillId="5" borderId="1" xfId="0" applyFont="1" applyFill="1" applyBorder="1" applyAlignment="1">
      <alignment horizontal="center" vertical="center" wrapText="1"/>
    </xf>
    <xf numFmtId="176" fontId="21" fillId="0" borderId="5" xfId="0" applyFont="1" applyFill="1" applyBorder="1" applyAlignment="1">
      <alignment horizontal="left" vertical="center" wrapText="1"/>
    </xf>
    <xf numFmtId="176" fontId="21" fillId="0" borderId="6" xfId="0" applyFont="1" applyFill="1" applyBorder="1" applyAlignment="1">
      <alignment horizontal="left" vertical="center" wrapText="1"/>
    </xf>
    <xf numFmtId="176" fontId="21" fillId="0" borderId="4" xfId="0" applyFont="1" applyFill="1" applyBorder="1" applyAlignment="1">
      <alignment horizontal="left" vertical="center" wrapText="1"/>
    </xf>
    <xf numFmtId="176" fontId="21" fillId="0" borderId="5" xfId="0" applyFont="1" applyFill="1" applyBorder="1" applyAlignment="1">
      <alignment vertical="center" wrapText="1"/>
    </xf>
    <xf numFmtId="176" fontId="21" fillId="0" borderId="6" xfId="0" applyFont="1" applyFill="1" applyBorder="1" applyAlignment="1">
      <alignment vertical="center" wrapText="1"/>
    </xf>
    <xf numFmtId="176" fontId="21" fillId="0" borderId="4" xfId="0" applyFont="1" applyFill="1" applyBorder="1" applyAlignment="1">
      <alignment vertical="center" wrapText="1"/>
    </xf>
    <xf numFmtId="49" fontId="0" fillId="0" borderId="0" xfId="0" applyNumberFormat="1"/>
    <xf numFmtId="176" fontId="0" fillId="0" borderId="0" xfId="0" applyAlignment="1"/>
    <xf numFmtId="0" fontId="1" fillId="0" borderId="1" xfId="2" applyNumberFormat="1" applyFont="1" applyFill="1" applyBorder="1" applyAlignment="1">
      <alignment horizontal="left" vertical="top"/>
    </xf>
    <xf numFmtId="0" fontId="15" fillId="0" borderId="1" xfId="0" applyNumberFormat="1" applyFont="1" applyFill="1" applyBorder="1" applyAlignment="1">
      <alignment horizontal="left"/>
    </xf>
    <xf numFmtId="0" fontId="11" fillId="0" borderId="1" xfId="2" applyNumberFormat="1" applyFont="1" applyFill="1" applyBorder="1" applyAlignment="1">
      <alignment horizontal="center"/>
    </xf>
    <xf numFmtId="0" fontId="0" fillId="0" borderId="1" xfId="2" applyNumberFormat="1" applyFont="1" applyFill="1" applyBorder="1" applyAlignment="1">
      <alignment horizontal="left"/>
    </xf>
    <xf numFmtId="0" fontId="20" fillId="0" borderId="9" xfId="0" applyNumberFormat="1" applyFont="1" applyFill="1" applyBorder="1" applyAlignment="1">
      <alignment horizontal="left"/>
    </xf>
    <xf numFmtId="0" fontId="27" fillId="0" borderId="1" xfId="49" applyFont="1" applyBorder="1" applyAlignment="1">
      <alignment horizontal="left"/>
    </xf>
    <xf numFmtId="0" fontId="13" fillId="9" borderId="2" xfId="0" applyNumberFormat="1" applyFont="1" applyFill="1" applyBorder="1" applyAlignment="1">
      <alignment horizontal="center"/>
    </xf>
    <xf numFmtId="0" fontId="13" fillId="9" borderId="1" xfId="0" applyNumberFormat="1" applyFont="1" applyFill="1" applyBorder="1" applyAlignment="1">
      <alignment horizontal="center"/>
    </xf>
    <xf numFmtId="49" fontId="0" fillId="9" borderId="11" xfId="0" applyNumberFormat="1" applyFill="1" applyBorder="1" applyAlignment="1"/>
    <xf numFmtId="49" fontId="0" fillId="9" borderId="13" xfId="0" applyNumberFormat="1" applyFill="1" applyBorder="1" applyAlignment="1"/>
    <xf numFmtId="49" fontId="0" fillId="9" borderId="15" xfId="0" applyNumberFormat="1" applyFill="1" applyBorder="1" applyAlignment="1"/>
    <xf numFmtId="49" fontId="0" fillId="9" borderId="12" xfId="0" applyNumberFormat="1" applyFill="1" applyBorder="1" applyAlignment="1"/>
    <xf numFmtId="49" fontId="0" fillId="9" borderId="14" xfId="0" applyNumberFormat="1" applyFill="1" applyBorder="1" applyAlignment="1"/>
    <xf numFmtId="49" fontId="0" fillId="9" borderId="16" xfId="0" applyNumberFormat="1" applyFill="1" applyBorder="1" applyAlignment="1"/>
  </cellXfs>
  <cellStyles count="50">
    <cellStyle name="Normal" xfId="0" builtinId="0"/>
    <cellStyle name="Normal 18 11" xfId="46" xr:uid="{00000000-0005-0000-0000-000001000000}"/>
    <cellStyle name="Normal 2" xfId="49" xr:uid="{00000000-0005-0000-0000-000002000000}"/>
    <cellStyle name="Normal 5" xfId="39" xr:uid="{00000000-0005-0000-0000-000003000000}"/>
    <cellStyle name="Standard 2" xfId="5" xr:uid="{00000000-0005-0000-0000-000004000000}"/>
    <cellStyle name="Standard 2 2" xfId="15" xr:uid="{00000000-0005-0000-0000-000005000000}"/>
    <cellStyle name="Standard 2 2 2" xfId="35" xr:uid="{00000000-0005-0000-0000-000006000000}"/>
    <cellStyle name="Standard 2 3" xfId="32" xr:uid="{00000000-0005-0000-0000-000007000000}"/>
    <cellStyle name="Standard_tmp_CandisMatrix_1" xfId="2" xr:uid="{00000000-0005-0000-0000-000008000000}"/>
    <cellStyle name="標準_AW_Support_Enhanced_Diagnostic_Service_for_CMC" xfId="37" xr:uid="{00000000-0005-0000-0000-000031000000}"/>
    <cellStyle name="常规 10" xfId="23" xr:uid="{00000000-0005-0000-0000-00000A000000}"/>
    <cellStyle name="常规 11" xfId="10" xr:uid="{00000000-0005-0000-0000-00000B000000}"/>
    <cellStyle name="常规 11 2" xfId="20" xr:uid="{00000000-0005-0000-0000-00000C000000}"/>
    <cellStyle name="常规 12" xfId="29" xr:uid="{00000000-0005-0000-0000-00000D000000}"/>
    <cellStyle name="常规 13" xfId="24" xr:uid="{00000000-0005-0000-0000-00000E000000}"/>
    <cellStyle name="常规 13 2" xfId="27" xr:uid="{00000000-0005-0000-0000-00000F000000}"/>
    <cellStyle name="常规 14" xfId="28" xr:uid="{00000000-0005-0000-0000-000010000000}"/>
    <cellStyle name="常规 15" xfId="31" xr:uid="{00000000-0005-0000-0000-000011000000}"/>
    <cellStyle name="常规 16" xfId="44" xr:uid="{00000000-0005-0000-0000-000012000000}"/>
    <cellStyle name="常规 17" xfId="45" xr:uid="{00000000-0005-0000-0000-000013000000}"/>
    <cellStyle name="常规 18" xfId="48" xr:uid="{00000000-0005-0000-0000-000014000000}"/>
    <cellStyle name="常规 19" xfId="26" xr:uid="{00000000-0005-0000-0000-000015000000}"/>
    <cellStyle name="常规 2" xfId="3" xr:uid="{00000000-0005-0000-0000-000016000000}"/>
    <cellStyle name="常规 2 2" xfId="13" xr:uid="{00000000-0005-0000-0000-000017000000}"/>
    <cellStyle name="常规 2 3" xfId="33" xr:uid="{00000000-0005-0000-0000-000018000000}"/>
    <cellStyle name="常规 21" xfId="47" xr:uid="{00000000-0005-0000-0000-000019000000}"/>
    <cellStyle name="常规 23" xfId="43" xr:uid="{00000000-0005-0000-0000-00001A000000}"/>
    <cellStyle name="常规 24" xfId="25" xr:uid="{00000000-0005-0000-0000-00001B000000}"/>
    <cellStyle name="常规 24 2" xfId="30" xr:uid="{00000000-0005-0000-0000-00001C000000}"/>
    <cellStyle name="常规 3" xfId="1" xr:uid="{00000000-0005-0000-0000-00001D000000}"/>
    <cellStyle name="常规 3 2" xfId="8" xr:uid="{00000000-0005-0000-0000-00001E000000}"/>
    <cellStyle name="常规 3 2 2" xfId="18" xr:uid="{00000000-0005-0000-0000-00001F000000}"/>
    <cellStyle name="常规 3 2 3" xfId="40" xr:uid="{00000000-0005-0000-0000-000020000000}"/>
    <cellStyle name="常规 3 3" xfId="12" xr:uid="{00000000-0005-0000-0000-000021000000}"/>
    <cellStyle name="常规 3 4" xfId="34" xr:uid="{00000000-0005-0000-0000-000022000000}"/>
    <cellStyle name="常规 39" xfId="21" xr:uid="{00000000-0005-0000-0000-000023000000}"/>
    <cellStyle name="常规 4" xfId="4" xr:uid="{00000000-0005-0000-0000-000024000000}"/>
    <cellStyle name="常规 4 2" xfId="14" xr:uid="{00000000-0005-0000-0000-000025000000}"/>
    <cellStyle name="常规 4 3" xfId="38" xr:uid="{00000000-0005-0000-0000-000026000000}"/>
    <cellStyle name="常规 5" xfId="6" xr:uid="{00000000-0005-0000-0000-000027000000}"/>
    <cellStyle name="常规 5 2" xfId="16" xr:uid="{00000000-0005-0000-0000-000028000000}"/>
    <cellStyle name="常规 5 3" xfId="41" xr:uid="{00000000-0005-0000-0000-000029000000}"/>
    <cellStyle name="常规 6" xfId="7" xr:uid="{00000000-0005-0000-0000-00002A000000}"/>
    <cellStyle name="常规 6 2" xfId="17" xr:uid="{00000000-0005-0000-0000-00002B000000}"/>
    <cellStyle name="常规 6 3" xfId="42" xr:uid="{00000000-0005-0000-0000-00002C000000}"/>
    <cellStyle name="常规 7" xfId="9" xr:uid="{00000000-0005-0000-0000-00002D000000}"/>
    <cellStyle name="常规 7 2" xfId="19" xr:uid="{00000000-0005-0000-0000-00002E000000}"/>
    <cellStyle name="常规 8" xfId="11" xr:uid="{00000000-0005-0000-0000-00002F000000}"/>
    <cellStyle name="常规 9" xfId="22" xr:uid="{00000000-0005-0000-0000-000030000000}"/>
    <cellStyle name="一般_AW_Support_DTC_for_HAITEC" xfId="36" xr:uid="{00000000-0005-0000-0000-000009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usernames" Target="revisions/userNames1.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revisionHeaders" Target="revisions/revisionHeaders.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revisions/_rels/revisionHeaders.xml.rels><?xml version="1.0" encoding="UTF-8" standalone="yes"?>
<Relationships xmlns="http://schemas.openxmlformats.org/package/2006/relationships"><Relationship Id="rId9" Type="http://schemas.openxmlformats.org/officeDocument/2006/relationships/revisionLog" Target="revisionLog9.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E8CFE634-6F29-43D7-95F2-8AC99E3B3F98}" diskRevisions="1" revisionId="292" version="6" protected="1">
  <header guid="{E8CFE634-6F29-43D7-95F2-8AC99E3B3F98}" dateTime="2020-07-13T20:53:57" maxSheetId="6" userName="Yin, Joss (X.)" r:id="rId9">
    <sheetIdMap count="5">
      <sheetId val="1"/>
      <sheetId val="5"/>
      <sheetId val="2"/>
      <sheetId val="3"/>
      <sheetId val="4"/>
    </sheetIdMap>
  </header>
</header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B3:B6">
    <dxf>
      <numFmt numFmtId="30" formatCode="@"/>
    </dxf>
  </rfmt>
  <rfmt sheetId="5" sqref="B7:B10">
    <dxf>
      <numFmt numFmtId="30" formatCode="@"/>
    </dxf>
  </rfmt>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outlinePr summaryBelow="0"/>
  </sheetPr>
  <dimension ref="A1:AA32"/>
  <sheetViews>
    <sheetView tabSelected="1" zoomScale="115" zoomScaleNormal="115" workbookViewId="0">
      <pane xSplit="4" ySplit="2" topLeftCell="E6" activePane="bottomRight" state="frozen"/>
      <selection pane="topRight" activeCell="E1" sqref="E1"/>
      <selection pane="bottomLeft" activeCell="A3" sqref="A3"/>
      <selection pane="bottomRight" activeCell="B14" sqref="B14"/>
    </sheetView>
  </sheetViews>
  <sheetFormatPr defaultColWidth="9.140625" defaultRowHeight="33" customHeight="1"/>
  <cols>
    <col min="1" max="1" width="6.7109375" style="7" customWidth="1"/>
    <col min="2" max="2" width="14.85546875" style="7" customWidth="1"/>
    <col min="3" max="3" width="14.140625" style="7" customWidth="1"/>
    <col min="4" max="4" width="24.85546875" style="11" customWidth="1"/>
    <col min="5" max="5" width="20.85546875" style="11" customWidth="1"/>
    <col min="6" max="6" width="11.7109375" style="7" customWidth="1"/>
    <col min="7" max="7" width="13.28515625" style="7" customWidth="1"/>
    <col min="8" max="8" width="8.42578125" style="7" customWidth="1"/>
    <col min="9" max="9" width="6.140625" style="7" hidden="1" customWidth="1"/>
    <col min="10" max="11" width="11.28515625" style="7" hidden="1" customWidth="1"/>
    <col min="12" max="12" width="7.42578125" style="7" hidden="1" customWidth="1"/>
    <col min="13" max="13" width="10.42578125" style="7" hidden="1" customWidth="1"/>
    <col min="14" max="14" width="15.42578125" style="7" hidden="1" customWidth="1"/>
    <col min="15" max="15" width="14.85546875" style="7" hidden="1" customWidth="1"/>
    <col min="16" max="16" width="7.7109375" style="7" hidden="1" customWidth="1"/>
    <col min="17" max="17" width="14.5703125" style="7" hidden="1" customWidth="1"/>
    <col min="18" max="18" width="14.7109375" style="7" hidden="1" customWidth="1"/>
    <col min="19" max="19" width="8.5703125" style="7" hidden="1" customWidth="1"/>
    <col min="20" max="20" width="11.140625" style="7" hidden="1" customWidth="1"/>
    <col min="21" max="21" width="10.7109375" style="7" hidden="1" customWidth="1"/>
    <col min="22" max="22" width="10.42578125" style="7" hidden="1" customWidth="1"/>
    <col min="23" max="23" width="19.42578125" style="53" customWidth="1"/>
    <col min="24" max="24" width="27" style="11" customWidth="1"/>
    <col min="25" max="26" width="5.7109375" style="7" customWidth="1"/>
    <col min="27" max="16384" width="9.140625" style="7"/>
  </cols>
  <sheetData>
    <row r="1" spans="1:27" ht="12" customHeight="1">
      <c r="A1" s="81" t="s">
        <v>0</v>
      </c>
      <c r="B1" s="79" t="s">
        <v>8</v>
      </c>
      <c r="C1" s="79" t="s">
        <v>7</v>
      </c>
      <c r="D1" s="81" t="s">
        <v>1</v>
      </c>
      <c r="E1" s="81" t="s">
        <v>2</v>
      </c>
      <c r="F1" s="81" t="s">
        <v>16</v>
      </c>
      <c r="G1" s="79" t="s">
        <v>3</v>
      </c>
      <c r="H1" s="79" t="s">
        <v>12</v>
      </c>
      <c r="I1" s="79" t="s">
        <v>96</v>
      </c>
      <c r="J1" s="79" t="s">
        <v>14</v>
      </c>
      <c r="K1" s="79" t="s">
        <v>13</v>
      </c>
      <c r="L1" s="79" t="s">
        <v>19</v>
      </c>
      <c r="M1" s="79" t="s">
        <v>4</v>
      </c>
      <c r="N1" s="79" t="s">
        <v>17</v>
      </c>
      <c r="O1" s="79" t="s">
        <v>18</v>
      </c>
      <c r="P1" s="79" t="s">
        <v>94</v>
      </c>
      <c r="Q1" s="79" t="s">
        <v>20</v>
      </c>
      <c r="R1" s="79" t="s">
        <v>21</v>
      </c>
      <c r="S1" s="79" t="s">
        <v>9</v>
      </c>
      <c r="T1" s="79" t="s">
        <v>10</v>
      </c>
      <c r="U1" s="79" t="s">
        <v>11</v>
      </c>
      <c r="V1" s="79" t="s">
        <v>22</v>
      </c>
      <c r="W1" s="79" t="s">
        <v>15</v>
      </c>
      <c r="X1" s="81" t="s">
        <v>5</v>
      </c>
      <c r="Y1" s="81" t="s">
        <v>6</v>
      </c>
      <c r="Z1" s="81"/>
    </row>
    <row r="2" spans="1:27" ht="10.5" customHeight="1">
      <c r="A2" s="82"/>
      <c r="B2" s="80"/>
      <c r="C2" s="80"/>
      <c r="D2" s="82"/>
      <c r="E2" s="82"/>
      <c r="F2" s="82"/>
      <c r="G2" s="80"/>
      <c r="H2" s="80"/>
      <c r="I2" s="80"/>
      <c r="J2" s="80"/>
      <c r="K2" s="80"/>
      <c r="L2" s="80"/>
      <c r="M2" s="80"/>
      <c r="N2" s="80"/>
      <c r="O2" s="80"/>
      <c r="P2" s="80"/>
      <c r="Q2" s="80"/>
      <c r="R2" s="80"/>
      <c r="S2" s="80"/>
      <c r="T2" s="80"/>
      <c r="U2" s="80"/>
      <c r="V2" s="80"/>
      <c r="W2" s="80"/>
      <c r="X2" s="82"/>
      <c r="Y2" s="12" t="s">
        <v>95</v>
      </c>
      <c r="Z2" s="12" t="s">
        <v>25</v>
      </c>
    </row>
    <row r="3" spans="1:27" s="5" customFormat="1" ht="12" customHeight="1">
      <c r="A3" s="83" t="s">
        <v>100</v>
      </c>
      <c r="B3" s="84"/>
      <c r="C3" s="84"/>
      <c r="D3" s="84"/>
      <c r="E3" s="84"/>
      <c r="F3" s="84"/>
      <c r="G3" s="84"/>
      <c r="H3" s="84"/>
      <c r="I3" s="84"/>
      <c r="J3" s="84"/>
      <c r="K3" s="84"/>
      <c r="L3" s="84"/>
      <c r="M3" s="84"/>
      <c r="N3" s="84"/>
      <c r="O3" s="84"/>
      <c r="P3" s="84"/>
      <c r="Q3" s="84"/>
      <c r="R3" s="84"/>
      <c r="S3" s="84"/>
      <c r="T3" s="84"/>
      <c r="U3" s="84"/>
      <c r="V3" s="84"/>
      <c r="W3" s="84"/>
      <c r="X3" s="84"/>
      <c r="Y3" s="84"/>
      <c r="Z3" s="85"/>
    </row>
    <row r="4" spans="1:27" s="5" customFormat="1" ht="132.94999999999999" customHeight="1">
      <c r="A4" s="1">
        <v>1</v>
      </c>
      <c r="B4" s="31" t="s">
        <v>98</v>
      </c>
      <c r="C4" s="30" t="s">
        <v>89</v>
      </c>
      <c r="D4" s="48" t="s">
        <v>211</v>
      </c>
      <c r="E4" s="41" t="s">
        <v>75</v>
      </c>
      <c r="F4" s="2" t="s">
        <v>30</v>
      </c>
      <c r="G4" s="13" t="s">
        <v>101</v>
      </c>
      <c r="H4" s="50" t="s">
        <v>153</v>
      </c>
      <c r="I4" s="8">
        <v>8</v>
      </c>
      <c r="J4" s="10">
        <v>0</v>
      </c>
      <c r="K4" s="10">
        <v>3</v>
      </c>
      <c r="L4" s="10">
        <v>4</v>
      </c>
      <c r="M4" s="4" t="s">
        <v>23</v>
      </c>
      <c r="N4" s="14" t="s">
        <v>76</v>
      </c>
      <c r="O4" s="4" t="s">
        <v>68</v>
      </c>
      <c r="P4" s="15" t="s">
        <v>69</v>
      </c>
      <c r="Q4" s="15" t="s">
        <v>69</v>
      </c>
      <c r="R4" s="15">
        <v>1</v>
      </c>
      <c r="S4" s="15">
        <v>0</v>
      </c>
      <c r="T4" s="15">
        <v>0</v>
      </c>
      <c r="U4" s="15">
        <v>15</v>
      </c>
      <c r="V4" s="15" t="s">
        <v>28</v>
      </c>
      <c r="W4" s="68" t="s">
        <v>259</v>
      </c>
      <c r="X4" s="45"/>
      <c r="Y4" s="9"/>
      <c r="Z4" s="9" t="s">
        <v>70</v>
      </c>
      <c r="AA4" s="16"/>
    </row>
    <row r="5" spans="1:27" s="5" customFormat="1" ht="207" customHeight="1">
      <c r="A5" s="1">
        <v>2</v>
      </c>
      <c r="B5" s="31" t="s">
        <v>98</v>
      </c>
      <c r="C5" s="30" t="s">
        <v>99</v>
      </c>
      <c r="D5" s="48" t="s">
        <v>212</v>
      </c>
      <c r="E5" s="41" t="s">
        <v>77</v>
      </c>
      <c r="F5" s="2" t="s">
        <v>78</v>
      </c>
      <c r="G5" s="13" t="s">
        <v>101</v>
      </c>
      <c r="H5" s="50" t="s">
        <v>153</v>
      </c>
      <c r="I5" s="8">
        <v>8</v>
      </c>
      <c r="J5" s="10">
        <v>4</v>
      </c>
      <c r="K5" s="10">
        <v>7</v>
      </c>
      <c r="L5" s="10">
        <v>4</v>
      </c>
      <c r="M5" s="4" t="s">
        <v>23</v>
      </c>
      <c r="N5" s="14" t="s">
        <v>79</v>
      </c>
      <c r="O5" s="4" t="s">
        <v>68</v>
      </c>
      <c r="P5" s="15" t="s">
        <v>69</v>
      </c>
      <c r="Q5" s="15" t="s">
        <v>69</v>
      </c>
      <c r="R5" s="15">
        <v>1</v>
      </c>
      <c r="S5" s="15">
        <v>0</v>
      </c>
      <c r="T5" s="15">
        <v>0</v>
      </c>
      <c r="U5" s="15">
        <v>15</v>
      </c>
      <c r="V5" s="15" t="s">
        <v>80</v>
      </c>
      <c r="W5" s="68" t="s">
        <v>252</v>
      </c>
      <c r="X5" s="2" t="s">
        <v>72</v>
      </c>
      <c r="Y5" s="9"/>
      <c r="Z5" s="9" t="s">
        <v>70</v>
      </c>
    </row>
    <row r="6" spans="1:27" s="5" customFormat="1" ht="15" customHeight="1">
      <c r="A6" s="86" t="s">
        <v>243</v>
      </c>
      <c r="B6" s="87"/>
      <c r="C6" s="87"/>
      <c r="D6" s="87"/>
      <c r="E6" s="87"/>
      <c r="F6" s="87"/>
      <c r="G6" s="87"/>
      <c r="H6" s="87"/>
      <c r="I6" s="87"/>
      <c r="J6" s="87"/>
      <c r="K6" s="87"/>
      <c r="L6" s="87"/>
      <c r="M6" s="87"/>
      <c r="N6" s="87"/>
      <c r="O6" s="87"/>
      <c r="P6" s="87"/>
      <c r="Q6" s="87"/>
      <c r="R6" s="87"/>
      <c r="S6" s="87"/>
      <c r="T6" s="87"/>
      <c r="U6" s="87"/>
      <c r="V6" s="87"/>
      <c r="W6" s="87"/>
      <c r="X6" s="87"/>
      <c r="Y6" s="87"/>
      <c r="Z6" s="88"/>
    </row>
    <row r="7" spans="1:27" s="5" customFormat="1" ht="31.5" customHeight="1">
      <c r="A7" s="54">
        <v>3</v>
      </c>
      <c r="B7" s="13" t="s">
        <v>67</v>
      </c>
      <c r="C7" s="30" t="s">
        <v>97</v>
      </c>
      <c r="D7" s="72" t="s">
        <v>255</v>
      </c>
      <c r="E7" s="57" t="s">
        <v>162</v>
      </c>
      <c r="F7" s="55"/>
      <c r="G7" s="13" t="s">
        <v>158</v>
      </c>
      <c r="H7" s="51" t="s">
        <v>155</v>
      </c>
      <c r="I7" s="8">
        <v>1</v>
      </c>
      <c r="J7" s="9">
        <v>0</v>
      </c>
      <c r="K7" s="9">
        <v>0</v>
      </c>
      <c r="L7" s="9">
        <v>1</v>
      </c>
      <c r="M7" s="4"/>
      <c r="N7" s="14"/>
      <c r="O7" s="4" t="s">
        <v>27</v>
      </c>
      <c r="P7" s="15" t="s">
        <v>69</v>
      </c>
      <c r="Q7" s="15" t="s">
        <v>31</v>
      </c>
      <c r="R7" s="15">
        <v>1</v>
      </c>
      <c r="S7" s="15">
        <v>0</v>
      </c>
      <c r="T7" s="15">
        <v>0</v>
      </c>
      <c r="U7" s="15">
        <v>1</v>
      </c>
      <c r="V7" s="15" t="s">
        <v>28</v>
      </c>
      <c r="W7" s="44" t="s">
        <v>254</v>
      </c>
      <c r="X7" s="55"/>
      <c r="Y7" s="55"/>
      <c r="Z7" s="55"/>
    </row>
    <row r="8" spans="1:27" s="5" customFormat="1" ht="35.25" customHeight="1">
      <c r="A8" s="54">
        <v>4</v>
      </c>
      <c r="B8" s="13" t="s">
        <v>67</v>
      </c>
      <c r="C8" s="30" t="s">
        <v>97</v>
      </c>
      <c r="D8" s="72" t="s">
        <v>256</v>
      </c>
      <c r="E8" s="57" t="s">
        <v>163</v>
      </c>
      <c r="F8" s="55"/>
      <c r="G8" s="13" t="s">
        <v>158</v>
      </c>
      <c r="H8" s="51" t="s">
        <v>155</v>
      </c>
      <c r="I8" s="8">
        <v>1</v>
      </c>
      <c r="J8" s="9">
        <f>K7+1</f>
        <v>1</v>
      </c>
      <c r="K8" s="9">
        <f>J8+I8-1</f>
        <v>1</v>
      </c>
      <c r="L8" s="9">
        <v>1</v>
      </c>
      <c r="M8" s="4"/>
      <c r="N8" s="14"/>
      <c r="O8" s="4" t="s">
        <v>27</v>
      </c>
      <c r="P8" s="15" t="s">
        <v>69</v>
      </c>
      <c r="Q8" s="15" t="s">
        <v>31</v>
      </c>
      <c r="R8" s="15">
        <v>1</v>
      </c>
      <c r="S8" s="15">
        <v>0</v>
      </c>
      <c r="T8" s="15">
        <v>0</v>
      </c>
      <c r="U8" s="15">
        <v>1</v>
      </c>
      <c r="V8" s="15" t="s">
        <v>28</v>
      </c>
      <c r="W8" s="44" t="s">
        <v>253</v>
      </c>
      <c r="X8" s="55"/>
      <c r="Y8" s="55"/>
      <c r="Z8" s="55"/>
    </row>
    <row r="9" spans="1:27" s="5" customFormat="1" ht="26.25" customHeight="1">
      <c r="A9" s="54">
        <v>5</v>
      </c>
      <c r="B9" s="13" t="s">
        <v>67</v>
      </c>
      <c r="C9" s="30" t="s">
        <v>97</v>
      </c>
      <c r="D9" s="72" t="s">
        <v>257</v>
      </c>
      <c r="E9" s="57" t="s">
        <v>164</v>
      </c>
      <c r="F9" s="55"/>
      <c r="G9" s="13" t="s">
        <v>103</v>
      </c>
      <c r="H9" s="51" t="s">
        <v>155</v>
      </c>
      <c r="I9" s="8">
        <v>1</v>
      </c>
      <c r="J9" s="9">
        <f>K8+1</f>
        <v>2</v>
      </c>
      <c r="K9" s="9">
        <f t="shared" ref="K9:K32" si="0">J9+I9-1</f>
        <v>2</v>
      </c>
      <c r="L9" s="9">
        <v>1</v>
      </c>
      <c r="M9" s="4"/>
      <c r="N9" s="14"/>
      <c r="O9" s="4" t="s">
        <v>27</v>
      </c>
      <c r="P9" s="15" t="s">
        <v>69</v>
      </c>
      <c r="Q9" s="15" t="s">
        <v>31</v>
      </c>
      <c r="R9" s="15">
        <v>1</v>
      </c>
      <c r="S9" s="15">
        <v>0</v>
      </c>
      <c r="T9" s="15">
        <v>0</v>
      </c>
      <c r="U9" s="15">
        <v>1</v>
      </c>
      <c r="V9" s="15" t="s">
        <v>28</v>
      </c>
      <c r="W9" s="44" t="s">
        <v>254</v>
      </c>
      <c r="X9" s="55"/>
      <c r="Y9" s="55"/>
      <c r="Z9" s="55"/>
    </row>
    <row r="10" spans="1:27" s="5" customFormat="1" ht="32.25" customHeight="1">
      <c r="A10" s="54">
        <v>6</v>
      </c>
      <c r="B10" s="13" t="s">
        <v>67</v>
      </c>
      <c r="C10" s="30" t="s">
        <v>97</v>
      </c>
      <c r="D10" s="72" t="s">
        <v>258</v>
      </c>
      <c r="E10" s="57" t="s">
        <v>165</v>
      </c>
      <c r="F10" s="55"/>
      <c r="G10" s="13" t="s">
        <v>103</v>
      </c>
      <c r="H10" s="51" t="s">
        <v>155</v>
      </c>
      <c r="I10" s="8">
        <v>1</v>
      </c>
      <c r="J10" s="9">
        <f>K9+1</f>
        <v>3</v>
      </c>
      <c r="K10" s="9">
        <f t="shared" si="0"/>
        <v>3</v>
      </c>
      <c r="L10" s="9">
        <v>1</v>
      </c>
      <c r="M10" s="4"/>
      <c r="N10" s="14"/>
      <c r="O10" s="4" t="s">
        <v>27</v>
      </c>
      <c r="P10" s="15" t="s">
        <v>69</v>
      </c>
      <c r="Q10" s="15" t="s">
        <v>31</v>
      </c>
      <c r="R10" s="15">
        <v>1</v>
      </c>
      <c r="S10" s="15">
        <v>0</v>
      </c>
      <c r="T10" s="15">
        <v>0</v>
      </c>
      <c r="U10" s="15">
        <v>1</v>
      </c>
      <c r="V10" s="15" t="s">
        <v>28</v>
      </c>
      <c r="W10" s="44" t="s">
        <v>253</v>
      </c>
      <c r="X10" s="55"/>
      <c r="Y10" s="55"/>
      <c r="Z10" s="55"/>
    </row>
    <row r="11" spans="1:27" s="5" customFormat="1" ht="15" customHeight="1">
      <c r="A11" s="54">
        <v>7</v>
      </c>
      <c r="B11" s="13" t="s">
        <v>67</v>
      </c>
      <c r="C11" s="30" t="s">
        <v>97</v>
      </c>
      <c r="D11" s="47" t="s">
        <v>166</v>
      </c>
      <c r="E11" s="56" t="s">
        <v>159</v>
      </c>
      <c r="F11" s="55"/>
      <c r="G11" s="13" t="s">
        <v>103</v>
      </c>
      <c r="H11" s="51" t="s">
        <v>155</v>
      </c>
      <c r="I11" s="8">
        <v>1</v>
      </c>
      <c r="J11" s="9">
        <f t="shared" ref="J11:J32" si="1">K10+1</f>
        <v>4</v>
      </c>
      <c r="K11" s="9">
        <f t="shared" si="0"/>
        <v>4</v>
      </c>
      <c r="L11" s="9">
        <v>1</v>
      </c>
      <c r="M11" s="4"/>
      <c r="N11" s="14"/>
      <c r="O11" s="4" t="s">
        <v>27</v>
      </c>
      <c r="P11" s="15" t="s">
        <v>69</v>
      </c>
      <c r="Q11" s="15" t="s">
        <v>31</v>
      </c>
      <c r="R11" s="15">
        <v>1</v>
      </c>
      <c r="S11" s="15">
        <v>0</v>
      </c>
      <c r="T11" s="15">
        <v>0</v>
      </c>
      <c r="U11" s="15">
        <v>1</v>
      </c>
      <c r="V11" s="15" t="s">
        <v>28</v>
      </c>
      <c r="W11" s="44" t="s">
        <v>161</v>
      </c>
      <c r="X11" s="55"/>
      <c r="Y11" s="55"/>
      <c r="Z11" s="55"/>
    </row>
    <row r="12" spans="1:27" s="5" customFormat="1" ht="14.25" customHeight="1">
      <c r="A12" s="54">
        <v>8</v>
      </c>
      <c r="B12" s="13" t="s">
        <v>67</v>
      </c>
      <c r="C12" s="30" t="s">
        <v>97</v>
      </c>
      <c r="D12" s="47" t="s">
        <v>157</v>
      </c>
      <c r="E12" s="47" t="s">
        <v>160</v>
      </c>
      <c r="F12" s="55"/>
      <c r="G12" s="13" t="s">
        <v>103</v>
      </c>
      <c r="H12" s="51" t="s">
        <v>155</v>
      </c>
      <c r="I12" s="8">
        <v>3</v>
      </c>
      <c r="J12" s="9">
        <f t="shared" si="1"/>
        <v>5</v>
      </c>
      <c r="K12" s="9">
        <f t="shared" si="0"/>
        <v>7</v>
      </c>
      <c r="L12" s="9">
        <v>3</v>
      </c>
      <c r="M12" s="4"/>
      <c r="N12" s="14"/>
      <c r="O12" s="4" t="s">
        <v>27</v>
      </c>
      <c r="P12" s="15" t="s">
        <v>69</v>
      </c>
      <c r="Q12" s="15" t="s">
        <v>31</v>
      </c>
      <c r="R12" s="15">
        <v>1</v>
      </c>
      <c r="S12" s="15">
        <v>0</v>
      </c>
      <c r="T12" s="15">
        <v>0</v>
      </c>
      <c r="U12" s="15">
        <v>7</v>
      </c>
      <c r="V12" s="15" t="s">
        <v>28</v>
      </c>
      <c r="W12" s="44" t="s">
        <v>249</v>
      </c>
      <c r="X12" s="55"/>
      <c r="Y12" s="55"/>
      <c r="Z12" s="55"/>
    </row>
    <row r="13" spans="1:27" s="5" customFormat="1" ht="36.75" customHeight="1">
      <c r="A13" s="54">
        <v>9</v>
      </c>
      <c r="B13" s="13" t="s">
        <v>67</v>
      </c>
      <c r="C13" s="30" t="s">
        <v>97</v>
      </c>
      <c r="D13" s="48" t="s">
        <v>132</v>
      </c>
      <c r="E13" s="3" t="s">
        <v>85</v>
      </c>
      <c r="F13" s="2" t="s">
        <v>30</v>
      </c>
      <c r="G13" s="13" t="s">
        <v>82</v>
      </c>
      <c r="H13" s="51" t="s">
        <v>155</v>
      </c>
      <c r="I13" s="8">
        <v>1</v>
      </c>
      <c r="J13" s="9">
        <f t="shared" si="1"/>
        <v>8</v>
      </c>
      <c r="K13" s="9">
        <f t="shared" si="0"/>
        <v>8</v>
      </c>
      <c r="L13" s="9">
        <v>1</v>
      </c>
      <c r="M13" s="4" t="s">
        <v>23</v>
      </c>
      <c r="N13" s="14" t="s">
        <v>76</v>
      </c>
      <c r="O13" s="4" t="s">
        <v>27</v>
      </c>
      <c r="P13" s="15" t="s">
        <v>71</v>
      </c>
      <c r="Q13" s="15" t="s">
        <v>31</v>
      </c>
      <c r="R13" s="15">
        <v>1</v>
      </c>
      <c r="S13" s="15">
        <v>0</v>
      </c>
      <c r="T13" s="15">
        <v>0</v>
      </c>
      <c r="U13" s="15">
        <v>1</v>
      </c>
      <c r="V13" s="15" t="s">
        <v>28</v>
      </c>
      <c r="W13" s="44" t="s">
        <v>126</v>
      </c>
      <c r="X13" s="2" t="s">
        <v>30</v>
      </c>
      <c r="Y13" s="9" t="s">
        <v>83</v>
      </c>
      <c r="Z13" s="9"/>
    </row>
    <row r="14" spans="1:27" s="5" customFormat="1" ht="220.5" customHeight="1">
      <c r="A14" s="54">
        <v>10</v>
      </c>
      <c r="B14" s="13" t="s">
        <v>67</v>
      </c>
      <c r="C14" s="30" t="s">
        <v>97</v>
      </c>
      <c r="D14" s="48" t="s">
        <v>133</v>
      </c>
      <c r="E14" s="3" t="s">
        <v>81</v>
      </c>
      <c r="F14" s="2" t="s">
        <v>30</v>
      </c>
      <c r="G14" s="13" t="s">
        <v>82</v>
      </c>
      <c r="H14" s="51" t="s">
        <v>155</v>
      </c>
      <c r="I14" s="8">
        <v>4</v>
      </c>
      <c r="J14" s="9">
        <f t="shared" si="1"/>
        <v>9</v>
      </c>
      <c r="K14" s="9">
        <f t="shared" si="0"/>
        <v>12</v>
      </c>
      <c r="L14" s="9">
        <v>4</v>
      </c>
      <c r="M14" s="33" t="s">
        <v>23</v>
      </c>
      <c r="N14" s="14" t="s">
        <v>76</v>
      </c>
      <c r="O14" s="4" t="s">
        <v>27</v>
      </c>
      <c r="P14" s="20" t="s">
        <v>131</v>
      </c>
      <c r="Q14" s="15" t="s">
        <v>31</v>
      </c>
      <c r="R14" s="15">
        <v>1</v>
      </c>
      <c r="S14" s="15">
        <v>0</v>
      </c>
      <c r="T14" s="15">
        <v>0</v>
      </c>
      <c r="U14" s="15">
        <v>15</v>
      </c>
      <c r="V14" s="15" t="s">
        <v>28</v>
      </c>
      <c r="W14" s="44" t="s">
        <v>250</v>
      </c>
      <c r="X14" s="46" t="s">
        <v>118</v>
      </c>
      <c r="Y14" s="9" t="s">
        <v>83</v>
      </c>
      <c r="Z14" s="9"/>
    </row>
    <row r="15" spans="1:27" s="5" customFormat="1" ht="107.25" customHeight="1">
      <c r="A15" s="54">
        <v>11</v>
      </c>
      <c r="B15" s="13" t="s">
        <v>34</v>
      </c>
      <c r="C15" s="30" t="s">
        <v>97</v>
      </c>
      <c r="D15" s="48" t="s">
        <v>134</v>
      </c>
      <c r="E15" s="3" t="s">
        <v>44</v>
      </c>
      <c r="F15" s="2" t="s">
        <v>35</v>
      </c>
      <c r="G15" s="13" t="s">
        <v>88</v>
      </c>
      <c r="H15" s="51" t="s">
        <v>154</v>
      </c>
      <c r="I15" s="8">
        <v>3</v>
      </c>
      <c r="J15" s="9">
        <f t="shared" si="1"/>
        <v>13</v>
      </c>
      <c r="K15" s="9">
        <f t="shared" si="0"/>
        <v>15</v>
      </c>
      <c r="L15" s="14">
        <v>3</v>
      </c>
      <c r="M15" s="4" t="s">
        <v>23</v>
      </c>
      <c r="N15" s="14" t="s">
        <v>36</v>
      </c>
      <c r="O15" s="4" t="s">
        <v>27</v>
      </c>
      <c r="P15" s="9" t="s">
        <v>60</v>
      </c>
      <c r="Q15" s="14" t="s">
        <v>39</v>
      </c>
      <c r="R15" s="14">
        <v>1</v>
      </c>
      <c r="S15" s="14">
        <v>0</v>
      </c>
      <c r="T15" s="14">
        <v>0</v>
      </c>
      <c r="U15" s="14">
        <v>7</v>
      </c>
      <c r="V15" s="10" t="s">
        <v>24</v>
      </c>
      <c r="W15" s="52" t="s">
        <v>151</v>
      </c>
      <c r="X15" s="24" t="s">
        <v>35</v>
      </c>
      <c r="Y15" s="2" t="s">
        <v>29</v>
      </c>
      <c r="Z15" s="2"/>
    </row>
    <row r="16" spans="1:27" ht="29.25" customHeight="1">
      <c r="A16" s="54">
        <v>12</v>
      </c>
      <c r="B16" s="23" t="s">
        <v>34</v>
      </c>
      <c r="C16" s="30" t="s">
        <v>97</v>
      </c>
      <c r="D16" s="48" t="s">
        <v>135</v>
      </c>
      <c r="E16" s="3" t="s">
        <v>86</v>
      </c>
      <c r="F16" s="2" t="s">
        <v>72</v>
      </c>
      <c r="G16" s="13" t="s">
        <v>103</v>
      </c>
      <c r="H16" s="51" t="s">
        <v>154</v>
      </c>
      <c r="I16" s="8">
        <v>1</v>
      </c>
      <c r="J16" s="9">
        <f t="shared" si="1"/>
        <v>16</v>
      </c>
      <c r="K16" s="9">
        <f t="shared" si="0"/>
        <v>16</v>
      </c>
      <c r="L16" s="9">
        <v>1</v>
      </c>
      <c r="M16" s="4" t="s">
        <v>23</v>
      </c>
      <c r="N16" s="14" t="s">
        <v>73</v>
      </c>
      <c r="O16" s="4" t="s">
        <v>27</v>
      </c>
      <c r="P16" s="15" t="s">
        <v>71</v>
      </c>
      <c r="Q16" s="15" t="s">
        <v>31</v>
      </c>
      <c r="R16" s="15">
        <v>1</v>
      </c>
      <c r="S16" s="15">
        <v>0</v>
      </c>
      <c r="T16" s="15">
        <v>0</v>
      </c>
      <c r="U16" s="15">
        <v>1</v>
      </c>
      <c r="V16" s="15" t="s">
        <v>74</v>
      </c>
      <c r="W16" s="44" t="s">
        <v>130</v>
      </c>
      <c r="X16" s="2" t="s">
        <v>72</v>
      </c>
      <c r="Y16" s="9" t="s">
        <v>87</v>
      </c>
      <c r="Z16" s="9"/>
    </row>
    <row r="17" spans="1:27" ht="205.5" customHeight="1">
      <c r="A17" s="54">
        <v>13</v>
      </c>
      <c r="B17" s="23" t="s">
        <v>34</v>
      </c>
      <c r="C17" s="30" t="s">
        <v>97</v>
      </c>
      <c r="D17" s="48" t="s">
        <v>136</v>
      </c>
      <c r="E17" s="3" t="s">
        <v>84</v>
      </c>
      <c r="F17" s="2" t="s">
        <v>30</v>
      </c>
      <c r="G17" s="13" t="s">
        <v>103</v>
      </c>
      <c r="H17" s="51" t="s">
        <v>154</v>
      </c>
      <c r="I17" s="8">
        <v>4</v>
      </c>
      <c r="J17" s="9">
        <f t="shared" si="1"/>
        <v>17</v>
      </c>
      <c r="K17" s="9">
        <f t="shared" si="0"/>
        <v>20</v>
      </c>
      <c r="L17" s="9">
        <v>4</v>
      </c>
      <c r="M17" s="4" t="s">
        <v>23</v>
      </c>
      <c r="N17" s="14" t="s">
        <v>32</v>
      </c>
      <c r="O17" s="4" t="s">
        <v>27</v>
      </c>
      <c r="P17" s="20" t="s">
        <v>71</v>
      </c>
      <c r="Q17" s="15" t="s">
        <v>31</v>
      </c>
      <c r="R17" s="15">
        <v>1</v>
      </c>
      <c r="S17" s="15">
        <v>0</v>
      </c>
      <c r="T17" s="15">
        <v>0</v>
      </c>
      <c r="U17" s="15">
        <v>15</v>
      </c>
      <c r="V17" s="15" t="s">
        <v>28</v>
      </c>
      <c r="W17" s="44" t="s">
        <v>251</v>
      </c>
      <c r="X17" s="45" t="s">
        <v>120</v>
      </c>
      <c r="Y17" s="9" t="s">
        <v>83</v>
      </c>
      <c r="Z17" s="9"/>
    </row>
    <row r="18" spans="1:27" ht="144" customHeight="1">
      <c r="A18" s="54">
        <v>14</v>
      </c>
      <c r="B18" s="23" t="s">
        <v>34</v>
      </c>
      <c r="C18" s="30" t="s">
        <v>97</v>
      </c>
      <c r="D18" s="48" t="s">
        <v>137</v>
      </c>
      <c r="E18" s="3" t="s">
        <v>54</v>
      </c>
      <c r="F18" s="2" t="s">
        <v>55</v>
      </c>
      <c r="G18" s="13" t="s">
        <v>103</v>
      </c>
      <c r="H18" s="51" t="s">
        <v>154</v>
      </c>
      <c r="I18" s="8">
        <v>3</v>
      </c>
      <c r="J18" s="9">
        <f t="shared" si="1"/>
        <v>21</v>
      </c>
      <c r="K18" s="9">
        <f t="shared" si="0"/>
        <v>23</v>
      </c>
      <c r="L18" s="14">
        <v>3</v>
      </c>
      <c r="M18" s="4" t="s">
        <v>23</v>
      </c>
      <c r="N18" s="14" t="s">
        <v>51</v>
      </c>
      <c r="O18" s="4" t="s">
        <v>27</v>
      </c>
      <c r="P18" s="9" t="s">
        <v>63</v>
      </c>
      <c r="Q18" s="14" t="s">
        <v>52</v>
      </c>
      <c r="R18" s="14">
        <v>1</v>
      </c>
      <c r="S18" s="14">
        <v>0</v>
      </c>
      <c r="T18" s="14">
        <v>0</v>
      </c>
      <c r="U18" s="14">
        <v>7</v>
      </c>
      <c r="V18" s="14" t="s">
        <v>53</v>
      </c>
      <c r="W18" s="6" t="s">
        <v>127</v>
      </c>
      <c r="X18" s="24" t="s">
        <v>55</v>
      </c>
      <c r="Y18" s="2"/>
      <c r="Z18" s="2"/>
      <c r="AA18" s="25"/>
    </row>
    <row r="19" spans="1:27" s="5" customFormat="1" ht="38.25" customHeight="1">
      <c r="A19" s="54">
        <v>15</v>
      </c>
      <c r="B19" s="15" t="s">
        <v>89</v>
      </c>
      <c r="C19" s="30" t="s">
        <v>97</v>
      </c>
      <c r="D19" s="49" t="s">
        <v>138</v>
      </c>
      <c r="E19" s="18" t="s">
        <v>90</v>
      </c>
      <c r="F19" s="19" t="s">
        <v>24</v>
      </c>
      <c r="G19" s="20" t="s">
        <v>93</v>
      </c>
      <c r="H19" s="51" t="s">
        <v>154</v>
      </c>
      <c r="I19" s="8">
        <v>1</v>
      </c>
      <c r="J19" s="9">
        <f t="shared" si="1"/>
        <v>24</v>
      </c>
      <c r="K19" s="9">
        <f t="shared" si="0"/>
        <v>24</v>
      </c>
      <c r="L19" s="21">
        <v>1</v>
      </c>
      <c r="M19" s="19" t="s">
        <v>23</v>
      </c>
      <c r="N19" s="21" t="s">
        <v>26</v>
      </c>
      <c r="O19" s="19" t="s">
        <v>27</v>
      </c>
      <c r="P19" s="19" t="s">
        <v>91</v>
      </c>
      <c r="Q19" s="21" t="s">
        <v>92</v>
      </c>
      <c r="R19" s="21">
        <v>1</v>
      </c>
      <c r="S19" s="21">
        <v>0</v>
      </c>
      <c r="T19" s="21">
        <v>0</v>
      </c>
      <c r="U19" s="21">
        <v>1</v>
      </c>
      <c r="V19" s="21" t="s">
        <v>24</v>
      </c>
      <c r="W19" s="22" t="s">
        <v>38</v>
      </c>
      <c r="X19" s="19" t="s">
        <v>24</v>
      </c>
      <c r="Y19" s="19" t="s">
        <v>59</v>
      </c>
      <c r="Z19" s="19"/>
    </row>
    <row r="20" spans="1:27" s="5" customFormat="1" ht="34.5" customHeight="1">
      <c r="A20" s="54">
        <v>16</v>
      </c>
      <c r="B20" s="23" t="s">
        <v>34</v>
      </c>
      <c r="C20" s="30" t="s">
        <v>97</v>
      </c>
      <c r="D20" s="48" t="s">
        <v>140</v>
      </c>
      <c r="E20" s="3" t="s">
        <v>40</v>
      </c>
      <c r="F20" s="2" t="s">
        <v>35</v>
      </c>
      <c r="G20" s="13" t="s">
        <v>88</v>
      </c>
      <c r="H20" s="51" t="s">
        <v>154</v>
      </c>
      <c r="I20" s="8">
        <v>1</v>
      </c>
      <c r="J20" s="9">
        <f t="shared" si="1"/>
        <v>25</v>
      </c>
      <c r="K20" s="9">
        <f t="shared" si="0"/>
        <v>25</v>
      </c>
      <c r="L20" s="14">
        <v>1</v>
      </c>
      <c r="M20" s="4" t="s">
        <v>23</v>
      </c>
      <c r="N20" s="14" t="s">
        <v>41</v>
      </c>
      <c r="O20" s="4" t="s">
        <v>27</v>
      </c>
      <c r="P20" s="4" t="s">
        <v>60</v>
      </c>
      <c r="Q20" s="14" t="s">
        <v>39</v>
      </c>
      <c r="R20" s="14">
        <v>1</v>
      </c>
      <c r="S20" s="14">
        <v>0</v>
      </c>
      <c r="T20" s="14">
        <v>0</v>
      </c>
      <c r="U20" s="14">
        <v>1</v>
      </c>
      <c r="V20" s="14" t="s">
        <v>37</v>
      </c>
      <c r="W20" s="6" t="s">
        <v>42</v>
      </c>
      <c r="X20" s="19" t="s">
        <v>24</v>
      </c>
      <c r="Y20" s="2" t="s">
        <v>33</v>
      </c>
      <c r="Z20" s="2"/>
    </row>
    <row r="21" spans="1:27" s="5" customFormat="1" ht="48" customHeight="1">
      <c r="A21" s="54">
        <v>17</v>
      </c>
      <c r="B21" s="23" t="s">
        <v>34</v>
      </c>
      <c r="C21" s="30" t="s">
        <v>97</v>
      </c>
      <c r="D21" s="48" t="s">
        <v>139</v>
      </c>
      <c r="E21" s="43" t="s">
        <v>125</v>
      </c>
      <c r="F21" s="2" t="s">
        <v>35</v>
      </c>
      <c r="G21" s="13" t="s">
        <v>88</v>
      </c>
      <c r="H21" s="51" t="s">
        <v>154</v>
      </c>
      <c r="I21" s="8">
        <v>1</v>
      </c>
      <c r="J21" s="9">
        <f t="shared" si="1"/>
        <v>26</v>
      </c>
      <c r="K21" s="9">
        <f t="shared" si="0"/>
        <v>26</v>
      </c>
      <c r="L21" s="14">
        <v>1</v>
      </c>
      <c r="M21" s="4" t="s">
        <v>23</v>
      </c>
      <c r="N21" s="14" t="s">
        <v>41</v>
      </c>
      <c r="O21" s="4" t="s">
        <v>27</v>
      </c>
      <c r="P21" s="4" t="s">
        <v>60</v>
      </c>
      <c r="Q21" s="14" t="s">
        <v>39</v>
      </c>
      <c r="R21" s="14">
        <v>1</v>
      </c>
      <c r="S21" s="14">
        <v>0</v>
      </c>
      <c r="T21" s="14">
        <v>0</v>
      </c>
      <c r="U21" s="14">
        <v>1</v>
      </c>
      <c r="V21" s="14" t="s">
        <v>37</v>
      </c>
      <c r="W21" s="6" t="s">
        <v>42</v>
      </c>
      <c r="X21" s="19" t="s">
        <v>24</v>
      </c>
      <c r="Y21" s="2" t="s">
        <v>33</v>
      </c>
      <c r="Z21" s="2"/>
    </row>
    <row r="22" spans="1:27" s="5" customFormat="1" ht="26.25" customHeight="1">
      <c r="A22" s="54">
        <v>18</v>
      </c>
      <c r="B22" s="13" t="s">
        <v>34</v>
      </c>
      <c r="C22" s="30" t="s">
        <v>97</v>
      </c>
      <c r="D22" s="48" t="s">
        <v>141</v>
      </c>
      <c r="E22" s="3" t="s">
        <v>43</v>
      </c>
      <c r="F22" s="2" t="s">
        <v>35</v>
      </c>
      <c r="G22" s="13" t="s">
        <v>88</v>
      </c>
      <c r="H22" s="51" t="s">
        <v>154</v>
      </c>
      <c r="I22" s="8">
        <v>1</v>
      </c>
      <c r="J22" s="9">
        <f t="shared" si="1"/>
        <v>27</v>
      </c>
      <c r="K22" s="9">
        <f t="shared" si="0"/>
        <v>27</v>
      </c>
      <c r="L22" s="14">
        <v>1</v>
      </c>
      <c r="M22" s="4" t="s">
        <v>23</v>
      </c>
      <c r="N22" s="14" t="s">
        <v>41</v>
      </c>
      <c r="O22" s="4" t="s">
        <v>27</v>
      </c>
      <c r="P22" s="4" t="s">
        <v>60</v>
      </c>
      <c r="Q22" s="14" t="s">
        <v>39</v>
      </c>
      <c r="R22" s="14">
        <v>1</v>
      </c>
      <c r="S22" s="14">
        <v>0</v>
      </c>
      <c r="T22" s="14">
        <v>0</v>
      </c>
      <c r="U22" s="14">
        <v>1</v>
      </c>
      <c r="V22" s="14" t="s">
        <v>37</v>
      </c>
      <c r="W22" s="6" t="s">
        <v>42</v>
      </c>
      <c r="X22" s="19" t="s">
        <v>24</v>
      </c>
      <c r="Y22" s="2" t="s">
        <v>33</v>
      </c>
      <c r="Z22" s="2"/>
    </row>
    <row r="23" spans="1:27" s="5" customFormat="1" ht="23.25" customHeight="1">
      <c r="A23" s="54">
        <v>19</v>
      </c>
      <c r="B23" s="23" t="s">
        <v>34</v>
      </c>
      <c r="C23" s="30" t="s">
        <v>97</v>
      </c>
      <c r="D23" s="48" t="s">
        <v>142</v>
      </c>
      <c r="E23" s="3" t="s">
        <v>46</v>
      </c>
      <c r="F23" s="2" t="s">
        <v>35</v>
      </c>
      <c r="G23" s="13" t="s">
        <v>88</v>
      </c>
      <c r="H23" s="51" t="s">
        <v>154</v>
      </c>
      <c r="I23" s="8">
        <v>1</v>
      </c>
      <c r="J23" s="9">
        <f t="shared" si="1"/>
        <v>28</v>
      </c>
      <c r="K23" s="9">
        <f t="shared" si="0"/>
        <v>28</v>
      </c>
      <c r="L23" s="14">
        <v>1</v>
      </c>
      <c r="M23" s="4" t="s">
        <v>23</v>
      </c>
      <c r="N23" s="14" t="s">
        <v>36</v>
      </c>
      <c r="O23" s="4" t="s">
        <v>27</v>
      </c>
      <c r="P23" s="4" t="s">
        <v>62</v>
      </c>
      <c r="Q23" s="14" t="s">
        <v>39</v>
      </c>
      <c r="R23" s="14">
        <v>1</v>
      </c>
      <c r="S23" s="14">
        <v>0</v>
      </c>
      <c r="T23" s="14">
        <v>0</v>
      </c>
      <c r="U23" s="14">
        <v>1</v>
      </c>
      <c r="V23" s="10" t="s">
        <v>24</v>
      </c>
      <c r="W23" s="47" t="s">
        <v>128</v>
      </c>
      <c r="X23" s="4" t="s">
        <v>61</v>
      </c>
      <c r="Y23" s="2" t="s">
        <v>33</v>
      </c>
      <c r="Z23" s="2"/>
    </row>
    <row r="24" spans="1:27" s="5" customFormat="1" ht="34.5" customHeight="1">
      <c r="A24" s="54">
        <v>20</v>
      </c>
      <c r="B24" s="23" t="s">
        <v>34</v>
      </c>
      <c r="C24" s="30" t="s">
        <v>97</v>
      </c>
      <c r="D24" s="48" t="s">
        <v>143</v>
      </c>
      <c r="E24" s="3" t="s">
        <v>47</v>
      </c>
      <c r="F24" s="2" t="s">
        <v>35</v>
      </c>
      <c r="G24" s="13" t="s">
        <v>88</v>
      </c>
      <c r="H24" s="51" t="s">
        <v>154</v>
      </c>
      <c r="I24" s="8">
        <v>1</v>
      </c>
      <c r="J24" s="9">
        <f t="shared" si="1"/>
        <v>29</v>
      </c>
      <c r="K24" s="9">
        <f t="shared" si="0"/>
        <v>29</v>
      </c>
      <c r="L24" s="14">
        <v>1</v>
      </c>
      <c r="M24" s="4" t="s">
        <v>23</v>
      </c>
      <c r="N24" s="14" t="s">
        <v>41</v>
      </c>
      <c r="O24" s="4" t="s">
        <v>27</v>
      </c>
      <c r="P24" s="4" t="s">
        <v>60</v>
      </c>
      <c r="Q24" s="8" t="s">
        <v>45</v>
      </c>
      <c r="R24" s="8">
        <v>1</v>
      </c>
      <c r="S24" s="8">
        <v>0</v>
      </c>
      <c r="T24" s="8">
        <v>0</v>
      </c>
      <c r="U24" s="8">
        <v>1</v>
      </c>
      <c r="V24" s="8" t="s">
        <v>37</v>
      </c>
      <c r="W24" s="47" t="s">
        <v>48</v>
      </c>
      <c r="X24" s="24" t="s">
        <v>35</v>
      </c>
      <c r="Y24" s="2" t="s">
        <v>29</v>
      </c>
      <c r="Z24" s="2"/>
    </row>
    <row r="25" spans="1:27" s="5" customFormat="1" ht="28.5" customHeight="1">
      <c r="A25" s="54">
        <v>21</v>
      </c>
      <c r="B25" s="23" t="s">
        <v>34</v>
      </c>
      <c r="C25" s="30" t="s">
        <v>97</v>
      </c>
      <c r="D25" s="48" t="s">
        <v>144</v>
      </c>
      <c r="E25" s="3" t="s">
        <v>49</v>
      </c>
      <c r="F25" s="2" t="s">
        <v>35</v>
      </c>
      <c r="G25" s="13" t="s">
        <v>88</v>
      </c>
      <c r="H25" s="51" t="s">
        <v>154</v>
      </c>
      <c r="I25" s="8">
        <v>1</v>
      </c>
      <c r="J25" s="9">
        <f t="shared" si="1"/>
        <v>30</v>
      </c>
      <c r="K25" s="9">
        <f t="shared" si="0"/>
        <v>30</v>
      </c>
      <c r="L25" s="14">
        <v>1</v>
      </c>
      <c r="M25" s="4" t="s">
        <v>23</v>
      </c>
      <c r="N25" s="14" t="s">
        <v>36</v>
      </c>
      <c r="O25" s="4" t="s">
        <v>27</v>
      </c>
      <c r="P25" s="4" t="s">
        <v>62</v>
      </c>
      <c r="Q25" s="14" t="s">
        <v>39</v>
      </c>
      <c r="R25" s="14">
        <v>1</v>
      </c>
      <c r="S25" s="14">
        <v>0</v>
      </c>
      <c r="T25" s="14">
        <v>0</v>
      </c>
      <c r="U25" s="14">
        <v>1</v>
      </c>
      <c r="V25" s="10" t="s">
        <v>24</v>
      </c>
      <c r="W25" s="6" t="s">
        <v>129</v>
      </c>
      <c r="X25" s="4" t="s">
        <v>61</v>
      </c>
      <c r="Y25" s="2" t="s">
        <v>33</v>
      </c>
      <c r="Z25" s="2"/>
    </row>
    <row r="26" spans="1:27" s="5" customFormat="1" ht="33" customHeight="1">
      <c r="A26" s="54">
        <v>22</v>
      </c>
      <c r="B26" s="13" t="s">
        <v>89</v>
      </c>
      <c r="C26" s="30" t="s">
        <v>97</v>
      </c>
      <c r="D26" s="48" t="s">
        <v>145</v>
      </c>
      <c r="E26" s="32" t="s">
        <v>104</v>
      </c>
      <c r="F26" s="2" t="s">
        <v>35</v>
      </c>
      <c r="G26" s="13" t="s">
        <v>103</v>
      </c>
      <c r="H26" s="51" t="s">
        <v>154</v>
      </c>
      <c r="I26" s="8">
        <v>1</v>
      </c>
      <c r="J26" s="9">
        <f t="shared" si="1"/>
        <v>31</v>
      </c>
      <c r="K26" s="9">
        <f t="shared" si="0"/>
        <v>31</v>
      </c>
      <c r="L26" s="14">
        <v>1</v>
      </c>
      <c r="M26" s="4" t="s">
        <v>23</v>
      </c>
      <c r="N26" s="14" t="s">
        <v>41</v>
      </c>
      <c r="O26" s="4" t="s">
        <v>27</v>
      </c>
      <c r="P26" s="4" t="s">
        <v>60</v>
      </c>
      <c r="Q26" s="14" t="s">
        <v>39</v>
      </c>
      <c r="R26" s="14">
        <v>1</v>
      </c>
      <c r="S26" s="14">
        <v>0</v>
      </c>
      <c r="T26" s="14">
        <v>0</v>
      </c>
      <c r="U26" s="14">
        <v>1</v>
      </c>
      <c r="V26" s="14" t="s">
        <v>37</v>
      </c>
      <c r="W26" s="6" t="s">
        <v>42</v>
      </c>
      <c r="X26" s="19" t="s">
        <v>24</v>
      </c>
      <c r="Y26" s="2" t="s">
        <v>33</v>
      </c>
      <c r="Z26" s="2"/>
    </row>
    <row r="27" spans="1:27" s="5" customFormat="1" ht="33" customHeight="1">
      <c r="A27" s="54">
        <v>23</v>
      </c>
      <c r="B27" s="23" t="s">
        <v>34</v>
      </c>
      <c r="C27" s="30" t="s">
        <v>97</v>
      </c>
      <c r="D27" s="48" t="s">
        <v>146</v>
      </c>
      <c r="E27" s="32" t="s">
        <v>105</v>
      </c>
      <c r="F27" s="2" t="s">
        <v>35</v>
      </c>
      <c r="G27" s="13" t="s">
        <v>103</v>
      </c>
      <c r="H27" s="51" t="s">
        <v>154</v>
      </c>
      <c r="I27" s="8">
        <v>1</v>
      </c>
      <c r="J27" s="9">
        <f t="shared" si="1"/>
        <v>32</v>
      </c>
      <c r="K27" s="9">
        <f t="shared" si="0"/>
        <v>32</v>
      </c>
      <c r="L27" s="14">
        <v>1</v>
      </c>
      <c r="M27" s="4" t="s">
        <v>23</v>
      </c>
      <c r="N27" s="14" t="s">
        <v>41</v>
      </c>
      <c r="O27" s="4" t="s">
        <v>27</v>
      </c>
      <c r="P27" s="4" t="s">
        <v>60</v>
      </c>
      <c r="Q27" s="14" t="s">
        <v>39</v>
      </c>
      <c r="R27" s="14">
        <v>1</v>
      </c>
      <c r="S27" s="14">
        <v>0</v>
      </c>
      <c r="T27" s="14">
        <v>0</v>
      </c>
      <c r="U27" s="14">
        <v>1</v>
      </c>
      <c r="V27" s="14" t="s">
        <v>37</v>
      </c>
      <c r="W27" s="6" t="s">
        <v>42</v>
      </c>
      <c r="X27" s="19" t="s">
        <v>24</v>
      </c>
      <c r="Y27" s="2" t="s">
        <v>33</v>
      </c>
      <c r="Z27" s="2"/>
    </row>
    <row r="28" spans="1:27" s="5" customFormat="1" ht="33" customHeight="1">
      <c r="A28" s="54">
        <v>24</v>
      </c>
      <c r="B28" s="23" t="s">
        <v>34</v>
      </c>
      <c r="C28" s="30" t="s">
        <v>97</v>
      </c>
      <c r="D28" s="48" t="s">
        <v>147</v>
      </c>
      <c r="E28" s="32" t="s">
        <v>106</v>
      </c>
      <c r="F28" s="2" t="s">
        <v>35</v>
      </c>
      <c r="G28" s="13" t="s">
        <v>103</v>
      </c>
      <c r="H28" s="51" t="s">
        <v>154</v>
      </c>
      <c r="I28" s="8">
        <v>1</v>
      </c>
      <c r="J28" s="9">
        <f t="shared" si="1"/>
        <v>33</v>
      </c>
      <c r="K28" s="9">
        <f t="shared" si="0"/>
        <v>33</v>
      </c>
      <c r="L28" s="14">
        <v>1</v>
      </c>
      <c r="M28" s="4" t="s">
        <v>23</v>
      </c>
      <c r="N28" s="14" t="s">
        <v>41</v>
      </c>
      <c r="O28" s="4" t="s">
        <v>27</v>
      </c>
      <c r="P28" s="4" t="s">
        <v>60</v>
      </c>
      <c r="Q28" s="14" t="s">
        <v>39</v>
      </c>
      <c r="R28" s="14">
        <v>1</v>
      </c>
      <c r="S28" s="14">
        <v>0</v>
      </c>
      <c r="T28" s="14">
        <v>0</v>
      </c>
      <c r="U28" s="14">
        <v>1</v>
      </c>
      <c r="V28" s="14" t="s">
        <v>37</v>
      </c>
      <c r="W28" s="6" t="s">
        <v>42</v>
      </c>
      <c r="X28" s="19" t="s">
        <v>24</v>
      </c>
      <c r="Y28" s="2" t="s">
        <v>33</v>
      </c>
      <c r="Z28" s="2"/>
    </row>
    <row r="29" spans="1:27" s="17" customFormat="1" ht="36" customHeight="1">
      <c r="A29" s="54">
        <v>25</v>
      </c>
      <c r="B29" s="9" t="s">
        <v>89</v>
      </c>
      <c r="C29" s="31" t="s">
        <v>97</v>
      </c>
      <c r="D29" s="48" t="s">
        <v>148</v>
      </c>
      <c r="E29" s="32" t="s">
        <v>102</v>
      </c>
      <c r="F29" s="2"/>
      <c r="G29" s="31" t="s">
        <v>103</v>
      </c>
      <c r="H29" s="51" t="s">
        <v>154</v>
      </c>
      <c r="I29" s="8">
        <v>1</v>
      </c>
      <c r="J29" s="9">
        <f t="shared" si="1"/>
        <v>34</v>
      </c>
      <c r="K29" s="9">
        <f t="shared" si="0"/>
        <v>34</v>
      </c>
      <c r="L29" s="4">
        <v>1</v>
      </c>
      <c r="M29" s="4" t="s">
        <v>23</v>
      </c>
      <c r="N29" s="14" t="s">
        <v>32</v>
      </c>
      <c r="O29" s="4" t="s">
        <v>27</v>
      </c>
      <c r="P29" s="42" t="s">
        <v>122</v>
      </c>
      <c r="Q29" s="15" t="s">
        <v>31</v>
      </c>
      <c r="R29" s="14">
        <v>1</v>
      </c>
      <c r="S29" s="14">
        <v>0</v>
      </c>
      <c r="T29" s="14">
        <v>0</v>
      </c>
      <c r="U29" s="4">
        <v>4</v>
      </c>
      <c r="V29" s="4"/>
      <c r="W29" s="48" t="s">
        <v>156</v>
      </c>
      <c r="X29" s="4"/>
      <c r="Y29" s="9" t="s">
        <v>87</v>
      </c>
      <c r="Z29" s="4"/>
    </row>
    <row r="30" spans="1:27" ht="33" customHeight="1">
      <c r="A30" s="54">
        <v>26</v>
      </c>
      <c r="B30" s="23" t="s">
        <v>34</v>
      </c>
      <c r="C30" s="30" t="s">
        <v>97</v>
      </c>
      <c r="D30" s="48" t="s">
        <v>149</v>
      </c>
      <c r="E30" s="3" t="s">
        <v>56</v>
      </c>
      <c r="F30" s="2" t="s">
        <v>55</v>
      </c>
      <c r="G30" s="13" t="s">
        <v>103</v>
      </c>
      <c r="H30" s="51" t="s">
        <v>154</v>
      </c>
      <c r="I30" s="8">
        <v>1</v>
      </c>
      <c r="J30" s="9">
        <f t="shared" si="1"/>
        <v>35</v>
      </c>
      <c r="K30" s="9">
        <f t="shared" si="0"/>
        <v>35</v>
      </c>
      <c r="L30" s="14">
        <v>1</v>
      </c>
      <c r="M30" s="4" t="s">
        <v>23</v>
      </c>
      <c r="N30" s="14" t="s">
        <v>51</v>
      </c>
      <c r="O30" s="4" t="s">
        <v>27</v>
      </c>
      <c r="P30" s="4" t="s">
        <v>62</v>
      </c>
      <c r="Q30" s="14" t="s">
        <v>52</v>
      </c>
      <c r="R30" s="14">
        <v>1</v>
      </c>
      <c r="S30" s="14">
        <v>0</v>
      </c>
      <c r="T30" s="14">
        <v>0</v>
      </c>
      <c r="U30" s="14">
        <v>1</v>
      </c>
      <c r="V30" s="14" t="s">
        <v>53</v>
      </c>
      <c r="W30" s="6" t="s">
        <v>57</v>
      </c>
      <c r="X30" s="4" t="s">
        <v>61</v>
      </c>
      <c r="Y30" s="2" t="s">
        <v>33</v>
      </c>
      <c r="Z30" s="2"/>
      <c r="AA30" s="25"/>
    </row>
    <row r="31" spans="1:27" ht="33" customHeight="1">
      <c r="A31" s="54">
        <v>27</v>
      </c>
      <c r="B31" s="23" t="s">
        <v>34</v>
      </c>
      <c r="C31" s="30" t="s">
        <v>97</v>
      </c>
      <c r="D31" s="48" t="s">
        <v>150</v>
      </c>
      <c r="E31" s="3" t="s">
        <v>58</v>
      </c>
      <c r="F31" s="2" t="s">
        <v>55</v>
      </c>
      <c r="G31" s="13" t="s">
        <v>103</v>
      </c>
      <c r="H31" s="51" t="s">
        <v>154</v>
      </c>
      <c r="I31" s="8">
        <v>1</v>
      </c>
      <c r="J31" s="9">
        <f t="shared" si="1"/>
        <v>36</v>
      </c>
      <c r="K31" s="9">
        <f t="shared" si="0"/>
        <v>36</v>
      </c>
      <c r="L31" s="14">
        <v>1</v>
      </c>
      <c r="M31" s="4" t="s">
        <v>23</v>
      </c>
      <c r="N31" s="14" t="s">
        <v>51</v>
      </c>
      <c r="O31" s="4" t="s">
        <v>27</v>
      </c>
      <c r="P31" s="4" t="s">
        <v>62</v>
      </c>
      <c r="Q31" s="14" t="s">
        <v>52</v>
      </c>
      <c r="R31" s="14">
        <v>1</v>
      </c>
      <c r="S31" s="14">
        <v>0</v>
      </c>
      <c r="T31" s="14">
        <v>0</v>
      </c>
      <c r="U31" s="14">
        <v>1</v>
      </c>
      <c r="V31" s="14" t="s">
        <v>53</v>
      </c>
      <c r="W31" s="6" t="s">
        <v>50</v>
      </c>
      <c r="X31" s="4" t="s">
        <v>61</v>
      </c>
      <c r="Y31" s="2" t="s">
        <v>33</v>
      </c>
      <c r="Z31" s="2"/>
    </row>
    <row r="32" spans="1:27" s="5" customFormat="1" ht="42" customHeight="1">
      <c r="A32" s="54">
        <v>28</v>
      </c>
      <c r="B32" s="23" t="s">
        <v>34</v>
      </c>
      <c r="C32" s="30" t="s">
        <v>97</v>
      </c>
      <c r="D32" s="48" t="s">
        <v>152</v>
      </c>
      <c r="E32" s="3" t="s">
        <v>47</v>
      </c>
      <c r="F32" s="2" t="s">
        <v>35</v>
      </c>
      <c r="G32" s="13" t="s">
        <v>88</v>
      </c>
      <c r="H32" s="51" t="s">
        <v>154</v>
      </c>
      <c r="I32" s="8">
        <v>1</v>
      </c>
      <c r="J32" s="9">
        <f t="shared" si="1"/>
        <v>37</v>
      </c>
      <c r="K32" s="9">
        <f t="shared" si="0"/>
        <v>37</v>
      </c>
      <c r="L32" s="14">
        <v>1</v>
      </c>
      <c r="M32" s="4" t="s">
        <v>23</v>
      </c>
      <c r="N32" s="14" t="s">
        <v>41</v>
      </c>
      <c r="O32" s="4" t="s">
        <v>27</v>
      </c>
      <c r="P32" s="4" t="s">
        <v>60</v>
      </c>
      <c r="Q32" s="8" t="s">
        <v>45</v>
      </c>
      <c r="R32" s="8">
        <v>1</v>
      </c>
      <c r="S32" s="8">
        <v>0</v>
      </c>
      <c r="T32" s="8">
        <v>0</v>
      </c>
      <c r="U32" s="8">
        <v>1</v>
      </c>
      <c r="V32" s="8" t="s">
        <v>37</v>
      </c>
      <c r="W32" s="47" t="s">
        <v>48</v>
      </c>
      <c r="X32" s="24" t="s">
        <v>35</v>
      </c>
      <c r="Y32" s="2" t="s">
        <v>29</v>
      </c>
      <c r="Z32" s="2"/>
    </row>
  </sheetData>
  <autoFilter ref="A2:HK304" xr:uid="{00000000-0009-0000-0000-000000000000}"/>
  <sortState xmlns:xlrd2="http://schemas.microsoft.com/office/spreadsheetml/2017/richdata2" ref="B3:AC83">
    <sortCondition ref="B3:B83"/>
    <sortCondition ref="G3:G83"/>
    <sortCondition ref="J3:J83"/>
  </sortState>
  <dataConsolidate/>
  <customSheetViews>
    <customSheetView guid="{D28585A0-5D39-432E-81ED-6A20A7471F73}" scale="115" showPageBreaks="1" printArea="1" showAutoFilter="1" hiddenColumns="1">
      <pane xSplit="4" ySplit="2" topLeftCell="E6" activePane="bottomRight" state="frozen"/>
      <selection pane="bottomRight" sqref="A1:Z2"/>
      <pageMargins left="0.19685039370078741" right="0.19685039370078741" top="0.19685039370078741" bottom="0.19685039370078741" header="0.19685039370078741" footer="0.51181102362204722"/>
      <pageSetup orientation="landscape" r:id="rId1"/>
      <headerFooter alignWithMargins="0"/>
      <autoFilter ref="A2:HK304" xr:uid="{00000000-0009-0000-0000-000000000000}"/>
    </customSheetView>
    <customSheetView guid="{566BD698-1192-4E29-A1DB-0EA15F9BC81B}" scale="115" showPageBreaks="1" printArea="1" showAutoFilter="1" hiddenColumns="1">
      <pane xSplit="4" ySplit="2" topLeftCell="E6" activePane="bottomRight" state="frozen"/>
      <selection pane="bottomRight" activeCell="AA10" sqref="AA10"/>
      <pageMargins left="0.19685039370078741" right="0.19685039370078741" top="0.19685039370078741" bottom="0.19685039370078741" header="0.19685039370078741" footer="0.51181102362204722"/>
      <pageSetup orientation="landscape" r:id="rId2"/>
      <headerFooter alignWithMargins="0"/>
      <autoFilter ref="A2:HK304" xr:uid="{00000000-0000-0000-0000-000000000000}"/>
    </customSheetView>
  </customSheetViews>
  <mergeCells count="27">
    <mergeCell ref="A3:Z3"/>
    <mergeCell ref="A6:Z6"/>
    <mergeCell ref="Q1:Q2"/>
    <mergeCell ref="K1:K2"/>
    <mergeCell ref="L1:L2"/>
    <mergeCell ref="M1:M2"/>
    <mergeCell ref="N1:N2"/>
    <mergeCell ref="O1:O2"/>
    <mergeCell ref="P1:P2"/>
    <mergeCell ref="X1:X2"/>
    <mergeCell ref="Y1:Z1"/>
    <mergeCell ref="R1:R2"/>
    <mergeCell ref="S1:S2"/>
    <mergeCell ref="T1:T2"/>
    <mergeCell ref="U1:U2"/>
    <mergeCell ref="V1:V2"/>
    <mergeCell ref="W1:W2"/>
    <mergeCell ref="A1:A2"/>
    <mergeCell ref="B1:B2"/>
    <mergeCell ref="C1:C2"/>
    <mergeCell ref="D1:D2"/>
    <mergeCell ref="J1:J2"/>
    <mergeCell ref="E1:E2"/>
    <mergeCell ref="F1:F2"/>
    <mergeCell ref="G1:G2"/>
    <mergeCell ref="H1:H2"/>
    <mergeCell ref="I1:I2"/>
  </mergeCells>
  <phoneticPr fontId="14" type="noConversion"/>
  <dataValidations count="4">
    <dataValidation allowBlank="1" showErrorMessage="1" sqref="U29 V4:V5 P4:P5 P13:P15 V18 S13:V15 V30:V31 P32 P19:P28 S19:V28 S32:V65408 P33:Q65408" xr:uid="{00000000-0002-0000-0000-000000000000}"/>
    <dataValidation allowBlank="1" showErrorMessage="1" promptTitle="填写帮助" prompt="该部分知道多少填写多少，不知道可不填写" sqref="R13:R15 R19:R28 R32:R65408" xr:uid="{00000000-0002-0000-0000-000001000000}"/>
    <dataValidation allowBlank="1" showErrorMessage="1" promptTitle="note:" prompt="This table must be filled out by the supplier." sqref="C1:C2" xr:uid="{00000000-0002-0000-0000-000002000000}"/>
    <dataValidation type="list" allowBlank="1" showInputMessage="1" showErrorMessage="1" sqref="M30:M32 M13:M15 M18:M28" xr:uid="{00000000-0002-0000-0000-000003000000}">
      <formula1>"Intel, Motorola"</formula1>
    </dataValidation>
  </dataValidations>
  <pageMargins left="0.19685039370078741" right="0.19685039370078741" top="0.19685039370078741" bottom="0.19685039370078741" header="0.19685039370078741" footer="0.51181102362204722"/>
  <pageSetup orientation="landscape"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20A07-66EF-4F58-A7F9-3FA9FC697E43}">
  <dimension ref="A1:AB10"/>
  <sheetViews>
    <sheetView workbookViewId="0">
      <selection activeCell="H34" sqref="H34"/>
    </sheetView>
  </sheetViews>
  <sheetFormatPr defaultRowHeight="12.75"/>
  <cols>
    <col min="1" max="1" width="9.140625" style="105"/>
    <col min="2" max="2" width="15.7109375" customWidth="1"/>
    <col min="3" max="3" width="10.7109375" customWidth="1"/>
    <col min="4" max="4" width="15.140625" customWidth="1"/>
    <col min="5" max="5" width="12.42578125" customWidth="1"/>
    <col min="6" max="6" width="18" customWidth="1"/>
    <col min="17" max="17" width="12.28515625" customWidth="1"/>
    <col min="18" max="18" width="10.7109375" customWidth="1"/>
    <col min="19" max="19" width="13.5703125" customWidth="1"/>
    <col min="25" max="25" width="29.85546875" customWidth="1"/>
    <col min="27" max="27" width="13.7109375" customWidth="1"/>
    <col min="28" max="28" width="11.7109375" customWidth="1"/>
  </cols>
  <sheetData>
    <row r="1" spans="1:28" ht="38.25">
      <c r="A1" s="113" t="s">
        <v>266</v>
      </c>
      <c r="B1" s="113" t="s">
        <v>267</v>
      </c>
      <c r="C1" s="77" t="s">
        <v>0</v>
      </c>
      <c r="D1" s="75" t="s">
        <v>8</v>
      </c>
      <c r="E1" s="75" t="s">
        <v>7</v>
      </c>
      <c r="F1" s="77" t="s">
        <v>1</v>
      </c>
      <c r="G1" s="77" t="s">
        <v>2</v>
      </c>
      <c r="H1" s="77" t="s">
        <v>16</v>
      </c>
      <c r="I1" s="75" t="s">
        <v>3</v>
      </c>
      <c r="J1" s="75" t="s">
        <v>12</v>
      </c>
      <c r="K1" s="75" t="s">
        <v>96</v>
      </c>
      <c r="L1" s="75" t="s">
        <v>14</v>
      </c>
      <c r="M1" s="75" t="s">
        <v>13</v>
      </c>
      <c r="N1" s="75" t="s">
        <v>19</v>
      </c>
      <c r="O1" s="75" t="s">
        <v>4</v>
      </c>
      <c r="P1" s="75" t="s">
        <v>17</v>
      </c>
      <c r="Q1" s="75" t="s">
        <v>18</v>
      </c>
      <c r="R1" s="75" t="s">
        <v>94</v>
      </c>
      <c r="S1" s="75" t="s">
        <v>20</v>
      </c>
      <c r="T1" s="75" t="s">
        <v>21</v>
      </c>
      <c r="U1" s="75" t="s">
        <v>9</v>
      </c>
      <c r="V1" s="75" t="s">
        <v>10</v>
      </c>
      <c r="W1" s="75" t="s">
        <v>11</v>
      </c>
      <c r="X1" s="75" t="s">
        <v>22</v>
      </c>
      <c r="Y1" s="75" t="s">
        <v>15</v>
      </c>
      <c r="Z1" s="77" t="s">
        <v>5</v>
      </c>
      <c r="AA1" s="77" t="s">
        <v>6</v>
      </c>
      <c r="AB1" s="77"/>
    </row>
    <row r="2" spans="1:28" ht="19.5" thickBot="1">
      <c r="A2" s="114"/>
      <c r="B2" s="114"/>
      <c r="C2" s="78"/>
      <c r="D2" s="76"/>
      <c r="E2" s="76"/>
      <c r="F2" s="78"/>
      <c r="G2" s="78"/>
      <c r="H2" s="78"/>
      <c r="I2" s="76"/>
      <c r="J2" s="76"/>
      <c r="K2" s="76"/>
      <c r="L2" s="76"/>
      <c r="M2" s="76"/>
      <c r="N2" s="76"/>
      <c r="O2" s="76"/>
      <c r="P2" s="76"/>
      <c r="Q2" s="76"/>
      <c r="R2" s="76"/>
      <c r="S2" s="76"/>
      <c r="T2" s="76"/>
      <c r="U2" s="76"/>
      <c r="V2" s="76"/>
      <c r="W2" s="76"/>
      <c r="X2" s="76"/>
      <c r="Y2" s="76"/>
      <c r="Z2" s="78"/>
      <c r="AA2" s="12" t="s">
        <v>95</v>
      </c>
      <c r="AB2" s="12" t="s">
        <v>25</v>
      </c>
    </row>
    <row r="3" spans="1:28" s="106" customFormat="1" ht="15">
      <c r="A3" s="115">
        <v>20200713</v>
      </c>
      <c r="B3" s="118" t="s">
        <v>260</v>
      </c>
      <c r="C3" s="111">
        <v>3</v>
      </c>
      <c r="D3" s="13" t="s">
        <v>67</v>
      </c>
      <c r="E3" s="31" t="s">
        <v>97</v>
      </c>
      <c r="F3" s="112" t="s">
        <v>262</v>
      </c>
      <c r="G3" s="107" t="s">
        <v>162</v>
      </c>
      <c r="H3" s="108"/>
      <c r="I3" s="13" t="s">
        <v>82</v>
      </c>
      <c r="J3" s="50" t="s">
        <v>155</v>
      </c>
      <c r="K3" s="109">
        <v>1</v>
      </c>
      <c r="L3" s="9">
        <v>0</v>
      </c>
      <c r="M3" s="9">
        <v>0</v>
      </c>
      <c r="N3" s="9">
        <v>1</v>
      </c>
      <c r="O3" s="4"/>
      <c r="P3" s="14"/>
      <c r="Q3" s="4" t="s">
        <v>27</v>
      </c>
      <c r="R3" s="23" t="s">
        <v>69</v>
      </c>
      <c r="S3" s="23" t="s">
        <v>31</v>
      </c>
      <c r="T3" s="23">
        <v>1</v>
      </c>
      <c r="U3" s="23">
        <v>0</v>
      </c>
      <c r="V3" s="23">
        <v>0</v>
      </c>
      <c r="W3" s="23">
        <v>1</v>
      </c>
      <c r="X3" s="23" t="s">
        <v>28</v>
      </c>
      <c r="Y3" s="110" t="s">
        <v>254</v>
      </c>
      <c r="Z3" s="108"/>
      <c r="AA3" s="108"/>
      <c r="AB3" s="108"/>
    </row>
    <row r="4" spans="1:28" s="106" customFormat="1" ht="15">
      <c r="A4" s="116">
        <v>20200713</v>
      </c>
      <c r="B4" s="119"/>
      <c r="C4" s="111">
        <v>4</v>
      </c>
      <c r="D4" s="13" t="s">
        <v>67</v>
      </c>
      <c r="E4" s="31" t="s">
        <v>97</v>
      </c>
      <c r="F4" s="112" t="s">
        <v>263</v>
      </c>
      <c r="G4" s="107" t="s">
        <v>163</v>
      </c>
      <c r="H4" s="108"/>
      <c r="I4" s="13" t="s">
        <v>82</v>
      </c>
      <c r="J4" s="50" t="s">
        <v>155</v>
      </c>
      <c r="K4" s="109">
        <v>1</v>
      </c>
      <c r="L4" s="9">
        <f>M3+1</f>
        <v>1</v>
      </c>
      <c r="M4" s="9">
        <f>L4+K4-1</f>
        <v>1</v>
      </c>
      <c r="N4" s="9">
        <v>1</v>
      </c>
      <c r="O4" s="4"/>
      <c r="P4" s="14"/>
      <c r="Q4" s="4" t="s">
        <v>27</v>
      </c>
      <c r="R4" s="23" t="s">
        <v>69</v>
      </c>
      <c r="S4" s="23" t="s">
        <v>31</v>
      </c>
      <c r="T4" s="23">
        <v>1</v>
      </c>
      <c r="U4" s="23">
        <v>0</v>
      </c>
      <c r="V4" s="23">
        <v>0</v>
      </c>
      <c r="W4" s="23">
        <v>1</v>
      </c>
      <c r="X4" s="23" t="s">
        <v>28</v>
      </c>
      <c r="Y4" s="110" t="s">
        <v>253</v>
      </c>
      <c r="Z4" s="108"/>
      <c r="AA4" s="108"/>
      <c r="AB4" s="108"/>
    </row>
    <row r="5" spans="1:28" s="106" customFormat="1" ht="15">
      <c r="A5" s="116">
        <v>20200713</v>
      </c>
      <c r="B5" s="119"/>
      <c r="C5" s="111">
        <v>5</v>
      </c>
      <c r="D5" s="13" t="s">
        <v>67</v>
      </c>
      <c r="E5" s="31" t="s">
        <v>97</v>
      </c>
      <c r="F5" s="112" t="s">
        <v>264</v>
      </c>
      <c r="G5" s="107" t="s">
        <v>164</v>
      </c>
      <c r="H5" s="108"/>
      <c r="I5" s="13" t="s">
        <v>103</v>
      </c>
      <c r="J5" s="50" t="s">
        <v>155</v>
      </c>
      <c r="K5" s="109">
        <v>1</v>
      </c>
      <c r="L5" s="9">
        <f>M4+1</f>
        <v>2</v>
      </c>
      <c r="M5" s="9">
        <f t="shared" ref="M5:M6" si="0">L5+K5-1</f>
        <v>2</v>
      </c>
      <c r="N5" s="9">
        <v>1</v>
      </c>
      <c r="O5" s="4"/>
      <c r="P5" s="14"/>
      <c r="Q5" s="4" t="s">
        <v>27</v>
      </c>
      <c r="R5" s="23" t="s">
        <v>69</v>
      </c>
      <c r="S5" s="23" t="s">
        <v>31</v>
      </c>
      <c r="T5" s="23">
        <v>1</v>
      </c>
      <c r="U5" s="23">
        <v>0</v>
      </c>
      <c r="V5" s="23">
        <v>0</v>
      </c>
      <c r="W5" s="23">
        <v>1</v>
      </c>
      <c r="X5" s="23" t="s">
        <v>28</v>
      </c>
      <c r="Y5" s="110" t="s">
        <v>254</v>
      </c>
      <c r="Z5" s="108"/>
      <c r="AA5" s="108"/>
      <c r="AB5" s="108"/>
    </row>
    <row r="6" spans="1:28" s="106" customFormat="1" ht="15.75" thickBot="1">
      <c r="A6" s="117">
        <v>20200713</v>
      </c>
      <c r="B6" s="120"/>
      <c r="C6" s="111">
        <v>6</v>
      </c>
      <c r="D6" s="13" t="s">
        <v>67</v>
      </c>
      <c r="E6" s="31" t="s">
        <v>97</v>
      </c>
      <c r="F6" s="112" t="s">
        <v>265</v>
      </c>
      <c r="G6" s="107" t="s">
        <v>165</v>
      </c>
      <c r="H6" s="108"/>
      <c r="I6" s="13" t="s">
        <v>103</v>
      </c>
      <c r="J6" s="50" t="s">
        <v>155</v>
      </c>
      <c r="K6" s="109">
        <v>1</v>
      </c>
      <c r="L6" s="9">
        <f>M5+1</f>
        <v>3</v>
      </c>
      <c r="M6" s="9">
        <f t="shared" si="0"/>
        <v>3</v>
      </c>
      <c r="N6" s="9">
        <v>1</v>
      </c>
      <c r="O6" s="4"/>
      <c r="P6" s="14"/>
      <c r="Q6" s="4" t="s">
        <v>27</v>
      </c>
      <c r="R6" s="23" t="s">
        <v>69</v>
      </c>
      <c r="S6" s="23" t="s">
        <v>31</v>
      </c>
      <c r="T6" s="23">
        <v>1</v>
      </c>
      <c r="U6" s="23">
        <v>0</v>
      </c>
      <c r="V6" s="23">
        <v>0</v>
      </c>
      <c r="W6" s="23">
        <v>1</v>
      </c>
      <c r="X6" s="23" t="s">
        <v>28</v>
      </c>
      <c r="Y6" s="110" t="s">
        <v>253</v>
      </c>
      <c r="Z6" s="108"/>
      <c r="AA6" s="108"/>
      <c r="AB6" s="108"/>
    </row>
    <row r="7" spans="1:28" s="106" customFormat="1" ht="15">
      <c r="A7" s="116">
        <v>20200713</v>
      </c>
      <c r="B7" s="118" t="s">
        <v>261</v>
      </c>
      <c r="C7" s="111">
        <v>3</v>
      </c>
      <c r="D7" s="13" t="s">
        <v>67</v>
      </c>
      <c r="E7" s="31" t="s">
        <v>97</v>
      </c>
      <c r="F7" s="112" t="s">
        <v>255</v>
      </c>
      <c r="G7" s="107" t="s">
        <v>162</v>
      </c>
      <c r="H7" s="108"/>
      <c r="I7" s="13" t="s">
        <v>82</v>
      </c>
      <c r="J7" s="50" t="s">
        <v>155</v>
      </c>
      <c r="K7" s="109">
        <v>1</v>
      </c>
      <c r="L7" s="9">
        <v>0</v>
      </c>
      <c r="M7" s="9">
        <v>0</v>
      </c>
      <c r="N7" s="9">
        <v>1</v>
      </c>
      <c r="O7" s="4"/>
      <c r="P7" s="14"/>
      <c r="Q7" s="4" t="s">
        <v>27</v>
      </c>
      <c r="R7" s="23" t="s">
        <v>69</v>
      </c>
      <c r="S7" s="23" t="s">
        <v>31</v>
      </c>
      <c r="T7" s="23">
        <v>1</v>
      </c>
      <c r="U7" s="23">
        <v>0</v>
      </c>
      <c r="V7" s="23">
        <v>0</v>
      </c>
      <c r="W7" s="23">
        <v>1</v>
      </c>
      <c r="X7" s="23" t="s">
        <v>28</v>
      </c>
      <c r="Y7" s="110" t="s">
        <v>254</v>
      </c>
      <c r="Z7" s="108"/>
      <c r="AA7" s="108"/>
      <c r="AB7" s="108"/>
    </row>
    <row r="8" spans="1:28" s="106" customFormat="1" ht="15">
      <c r="A8" s="116">
        <v>20200713</v>
      </c>
      <c r="B8" s="119"/>
      <c r="C8" s="111">
        <v>4</v>
      </c>
      <c r="D8" s="13" t="s">
        <v>67</v>
      </c>
      <c r="E8" s="31" t="s">
        <v>97</v>
      </c>
      <c r="F8" s="112" t="s">
        <v>256</v>
      </c>
      <c r="G8" s="107" t="s">
        <v>163</v>
      </c>
      <c r="H8" s="108"/>
      <c r="I8" s="13" t="s">
        <v>82</v>
      </c>
      <c r="J8" s="50" t="s">
        <v>155</v>
      </c>
      <c r="K8" s="109">
        <v>1</v>
      </c>
      <c r="L8" s="9">
        <f>M7+1</f>
        <v>1</v>
      </c>
      <c r="M8" s="9">
        <f>L8+K8-1</f>
        <v>1</v>
      </c>
      <c r="N8" s="9">
        <v>1</v>
      </c>
      <c r="O8" s="4"/>
      <c r="P8" s="14"/>
      <c r="Q8" s="4" t="s">
        <v>27</v>
      </c>
      <c r="R8" s="23" t="s">
        <v>69</v>
      </c>
      <c r="S8" s="23" t="s">
        <v>31</v>
      </c>
      <c r="T8" s="23">
        <v>1</v>
      </c>
      <c r="U8" s="23">
        <v>0</v>
      </c>
      <c r="V8" s="23">
        <v>0</v>
      </c>
      <c r="W8" s="23">
        <v>1</v>
      </c>
      <c r="X8" s="23" t="s">
        <v>28</v>
      </c>
      <c r="Y8" s="110" t="s">
        <v>253</v>
      </c>
      <c r="Z8" s="108"/>
      <c r="AA8" s="108"/>
      <c r="AB8" s="108"/>
    </row>
    <row r="9" spans="1:28" s="106" customFormat="1" ht="15">
      <c r="A9" s="116">
        <v>20200713</v>
      </c>
      <c r="B9" s="119"/>
      <c r="C9" s="111">
        <v>5</v>
      </c>
      <c r="D9" s="13" t="s">
        <v>67</v>
      </c>
      <c r="E9" s="31" t="s">
        <v>97</v>
      </c>
      <c r="F9" s="112" t="s">
        <v>257</v>
      </c>
      <c r="G9" s="107" t="s">
        <v>164</v>
      </c>
      <c r="H9" s="108"/>
      <c r="I9" s="13" t="s">
        <v>103</v>
      </c>
      <c r="J9" s="50" t="s">
        <v>155</v>
      </c>
      <c r="K9" s="109">
        <v>1</v>
      </c>
      <c r="L9" s="9">
        <f>M8+1</f>
        <v>2</v>
      </c>
      <c r="M9" s="9">
        <f t="shared" ref="M9:M10" si="1">L9+K9-1</f>
        <v>2</v>
      </c>
      <c r="N9" s="9">
        <v>1</v>
      </c>
      <c r="O9" s="4"/>
      <c r="P9" s="14"/>
      <c r="Q9" s="4" t="s">
        <v>27</v>
      </c>
      <c r="R9" s="23" t="s">
        <v>69</v>
      </c>
      <c r="S9" s="23" t="s">
        <v>31</v>
      </c>
      <c r="T9" s="23">
        <v>1</v>
      </c>
      <c r="U9" s="23">
        <v>0</v>
      </c>
      <c r="V9" s="23">
        <v>0</v>
      </c>
      <c r="W9" s="23">
        <v>1</v>
      </c>
      <c r="X9" s="23" t="s">
        <v>28</v>
      </c>
      <c r="Y9" s="110" t="s">
        <v>254</v>
      </c>
      <c r="Z9" s="108"/>
      <c r="AA9" s="108"/>
      <c r="AB9" s="108"/>
    </row>
    <row r="10" spans="1:28" s="106" customFormat="1" ht="15.75" thickBot="1">
      <c r="A10" s="117">
        <v>20200713</v>
      </c>
      <c r="B10" s="120"/>
      <c r="C10" s="111">
        <v>6</v>
      </c>
      <c r="D10" s="13" t="s">
        <v>67</v>
      </c>
      <c r="E10" s="31" t="s">
        <v>97</v>
      </c>
      <c r="F10" s="112" t="s">
        <v>258</v>
      </c>
      <c r="G10" s="107" t="s">
        <v>165</v>
      </c>
      <c r="H10" s="108"/>
      <c r="I10" s="13" t="s">
        <v>103</v>
      </c>
      <c r="J10" s="50" t="s">
        <v>155</v>
      </c>
      <c r="K10" s="109">
        <v>1</v>
      </c>
      <c r="L10" s="9">
        <f>M9+1</f>
        <v>3</v>
      </c>
      <c r="M10" s="9">
        <f t="shared" si="1"/>
        <v>3</v>
      </c>
      <c r="N10" s="9">
        <v>1</v>
      </c>
      <c r="O10" s="4"/>
      <c r="P10" s="14"/>
      <c r="Q10" s="4" t="s">
        <v>27</v>
      </c>
      <c r="R10" s="23" t="s">
        <v>69</v>
      </c>
      <c r="S10" s="23" t="s">
        <v>31</v>
      </c>
      <c r="T10" s="23">
        <v>1</v>
      </c>
      <c r="U10" s="23">
        <v>0</v>
      </c>
      <c r="V10" s="23">
        <v>0</v>
      </c>
      <c r="W10" s="23">
        <v>1</v>
      </c>
      <c r="X10" s="23" t="s">
        <v>28</v>
      </c>
      <c r="Y10" s="110" t="s">
        <v>253</v>
      </c>
      <c r="Z10" s="108"/>
      <c r="AA10" s="108"/>
      <c r="AB10" s="108"/>
    </row>
  </sheetData>
  <customSheetViews>
    <customSheetView guid="{D28585A0-5D39-432E-81ED-6A20A7471F73}">
      <selection activeCell="K27" sqref="K27"/>
      <pageMargins left="0.7" right="0.7" top="0.75" bottom="0.75" header="0.3" footer="0.3"/>
    </customSheetView>
  </customSheetViews>
  <phoneticPr fontId="1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E26"/>
  <sheetViews>
    <sheetView showGridLines="0" topLeftCell="A4" zoomScaleNormal="100" workbookViewId="0">
      <selection activeCell="I17" sqref="I17"/>
    </sheetView>
  </sheetViews>
  <sheetFormatPr defaultColWidth="9.140625" defaultRowHeight="12.75"/>
  <cols>
    <col min="1" max="1" width="9.140625" style="26"/>
    <col min="2" max="3" width="19.85546875" style="26" customWidth="1"/>
    <col min="4" max="4" width="21" style="26" customWidth="1"/>
    <col min="5" max="5" width="14.42578125" style="26" bestFit="1" customWidth="1"/>
    <col min="6" max="16384" width="9.140625" style="26"/>
  </cols>
  <sheetData>
    <row r="1" spans="1:5" ht="18" customHeight="1">
      <c r="A1" s="27"/>
      <c r="B1" s="27"/>
      <c r="C1" s="27"/>
      <c r="D1" s="27"/>
      <c r="E1" s="27"/>
    </row>
    <row r="2" spans="1:5" ht="15.75" customHeight="1">
      <c r="A2" s="89" t="s">
        <v>121</v>
      </c>
      <c r="B2" s="89"/>
      <c r="C2" s="89"/>
      <c r="D2" s="89"/>
      <c r="E2" s="89"/>
    </row>
    <row r="3" spans="1:5" ht="15.75">
      <c r="A3" s="73" t="s">
        <v>64</v>
      </c>
      <c r="B3" s="73" t="s">
        <v>111</v>
      </c>
      <c r="C3" s="73" t="s">
        <v>107</v>
      </c>
      <c r="D3" s="73" t="s">
        <v>65</v>
      </c>
      <c r="E3" s="73" t="s">
        <v>66</v>
      </c>
    </row>
    <row r="4" spans="1:5">
      <c r="A4" s="74">
        <v>0</v>
      </c>
      <c r="B4" s="74" t="s">
        <v>124</v>
      </c>
      <c r="C4" s="74" t="s">
        <v>108</v>
      </c>
      <c r="D4" s="74">
        <v>20</v>
      </c>
      <c r="E4" s="90">
        <v>60</v>
      </c>
    </row>
    <row r="5" spans="1:5">
      <c r="A5" s="74">
        <v>1</v>
      </c>
      <c r="B5" s="74" t="s">
        <v>123</v>
      </c>
      <c r="C5" s="74" t="s">
        <v>109</v>
      </c>
      <c r="D5" s="74">
        <v>20</v>
      </c>
      <c r="E5" s="91"/>
    </row>
    <row r="6" spans="1:5">
      <c r="A6" s="74">
        <v>2</v>
      </c>
      <c r="B6" s="74" t="s">
        <v>112</v>
      </c>
      <c r="C6" s="74" t="s">
        <v>110</v>
      </c>
      <c r="D6" s="74">
        <v>20</v>
      </c>
      <c r="E6" s="92"/>
    </row>
    <row r="7" spans="1:5">
      <c r="A7" s="27"/>
      <c r="B7" s="27"/>
      <c r="C7" s="27"/>
      <c r="D7" s="27"/>
      <c r="E7" s="27"/>
    </row>
    <row r="8" spans="1:5">
      <c r="A8" s="27"/>
      <c r="B8" s="27"/>
      <c r="C8" s="27"/>
      <c r="D8" s="27"/>
      <c r="E8" s="27"/>
    </row>
    <row r="14" spans="1:5" ht="15.75">
      <c r="A14" s="28" t="s">
        <v>64</v>
      </c>
      <c r="B14" s="28" t="s">
        <v>111</v>
      </c>
      <c r="C14" s="28" t="s">
        <v>107</v>
      </c>
      <c r="D14" s="28" t="s">
        <v>65</v>
      </c>
      <c r="E14" s="28" t="s">
        <v>66</v>
      </c>
    </row>
    <row r="15" spans="1:5">
      <c r="A15" s="29">
        <v>0</v>
      </c>
      <c r="B15" s="29" t="s">
        <v>124</v>
      </c>
      <c r="C15" s="29" t="s">
        <v>108</v>
      </c>
      <c r="D15" s="29">
        <v>20</v>
      </c>
      <c r="E15" s="93">
        <v>60</v>
      </c>
    </row>
    <row r="16" spans="1:5">
      <c r="A16" s="29">
        <v>1</v>
      </c>
      <c r="B16" s="29" t="s">
        <v>123</v>
      </c>
      <c r="C16" s="29" t="s">
        <v>109</v>
      </c>
      <c r="D16" s="29">
        <v>20</v>
      </c>
      <c r="E16" s="94"/>
    </row>
    <row r="17" spans="1:5">
      <c r="A17" s="29">
        <v>2</v>
      </c>
      <c r="B17" s="29" t="s">
        <v>112</v>
      </c>
      <c r="C17" s="29" t="s">
        <v>110</v>
      </c>
      <c r="D17" s="29">
        <v>20</v>
      </c>
      <c r="E17" s="95"/>
    </row>
    <row r="25" spans="1:5">
      <c r="B25" s="66"/>
      <c r="C25" s="66"/>
      <c r="D25" s="66"/>
    </row>
    <row r="26" spans="1:5">
      <c r="E26" s="67"/>
    </row>
  </sheetData>
  <customSheetViews>
    <customSheetView guid="{D28585A0-5D39-432E-81ED-6A20A7471F73}" showGridLines="0" topLeftCell="A4">
      <selection activeCell="I17" sqref="I17"/>
      <pageMargins left="0.7" right="0.7" top="0.75" bottom="0.75" header="0.3" footer="0.3"/>
      <pageSetup paperSize="9" orientation="portrait" r:id="rId1"/>
    </customSheetView>
    <customSheetView guid="{566BD698-1192-4E29-A1DB-0EA15F9BC81B}" showGridLines="0" topLeftCell="A4">
      <selection activeCell="I17" sqref="I17"/>
      <pageMargins left="0.7" right="0.7" top="0.75" bottom="0.75" header="0.3" footer="0.3"/>
      <pageSetup paperSize="9" orientation="portrait" r:id="rId2"/>
    </customSheetView>
  </customSheetViews>
  <mergeCells count="3">
    <mergeCell ref="A2:E2"/>
    <mergeCell ref="E4:E6"/>
    <mergeCell ref="E15:E17"/>
  </mergeCells>
  <phoneticPr fontId="10" type="noConversion"/>
  <pageMargins left="0.7" right="0.7" top="0.75" bottom="0.75" header="0.3" footer="0.3"/>
  <pageSetup paperSize="9"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4:D21"/>
  <sheetViews>
    <sheetView showGridLines="0" workbookViewId="0">
      <selection activeCell="C28" sqref="C28"/>
    </sheetView>
  </sheetViews>
  <sheetFormatPr defaultRowHeight="12.75"/>
  <cols>
    <col min="2" max="2" width="14.85546875" bestFit="1" customWidth="1"/>
    <col min="3" max="3" width="30" customWidth="1"/>
    <col min="4" max="4" width="96.7109375" customWidth="1"/>
  </cols>
  <sheetData>
    <row r="4" spans="2:4">
      <c r="B4" s="36"/>
      <c r="C4" s="36" t="s">
        <v>113</v>
      </c>
      <c r="D4" s="36" t="s">
        <v>114</v>
      </c>
    </row>
    <row r="5" spans="2:4" ht="38.25">
      <c r="B5" s="37">
        <v>1</v>
      </c>
      <c r="C5" s="37" t="s">
        <v>115</v>
      </c>
      <c r="D5" s="40" t="s">
        <v>117</v>
      </c>
    </row>
    <row r="6" spans="2:4" s="35" customFormat="1" ht="63.75">
      <c r="B6" s="38">
        <v>2</v>
      </c>
      <c r="C6" s="38" t="s">
        <v>116</v>
      </c>
      <c r="D6" s="39" t="s">
        <v>119</v>
      </c>
    </row>
    <row r="7" spans="2:4">
      <c r="B7" s="37">
        <v>3</v>
      </c>
      <c r="C7" s="37"/>
      <c r="D7" s="36"/>
    </row>
    <row r="8" spans="2:4">
      <c r="B8" s="37"/>
      <c r="C8" s="37"/>
      <c r="D8" s="36"/>
    </row>
    <row r="9" spans="2:4">
      <c r="B9" s="37"/>
      <c r="C9" s="37"/>
      <c r="D9" s="36"/>
    </row>
    <row r="10" spans="2:4">
      <c r="B10" s="37"/>
      <c r="C10" s="37"/>
      <c r="D10" s="36"/>
    </row>
    <row r="11" spans="2:4">
      <c r="B11" s="37"/>
      <c r="C11" s="37"/>
      <c r="D11" s="36"/>
    </row>
    <row r="12" spans="2:4">
      <c r="B12" s="37"/>
      <c r="C12" s="37"/>
      <c r="D12" s="36"/>
    </row>
    <row r="13" spans="2:4">
      <c r="B13" s="37"/>
      <c r="C13" s="37"/>
      <c r="D13" s="36"/>
    </row>
    <row r="14" spans="2:4">
      <c r="B14" s="37"/>
      <c r="C14" s="37"/>
      <c r="D14" s="36"/>
    </row>
    <row r="15" spans="2:4">
      <c r="B15" s="37"/>
      <c r="C15" s="37"/>
      <c r="D15" s="36"/>
    </row>
    <row r="16" spans="2:4">
      <c r="B16" s="37"/>
      <c r="C16" s="37"/>
      <c r="D16" s="36"/>
    </row>
    <row r="17" spans="2:3">
      <c r="B17" s="34"/>
      <c r="C17" s="34"/>
    </row>
    <row r="18" spans="2:3">
      <c r="B18" s="34"/>
      <c r="C18" s="34"/>
    </row>
    <row r="19" spans="2:3">
      <c r="B19" s="34"/>
      <c r="C19" s="34"/>
    </row>
    <row r="20" spans="2:3">
      <c r="B20" s="34"/>
      <c r="C20" s="34"/>
    </row>
    <row r="21" spans="2:3">
      <c r="B21" s="34"/>
      <c r="C21" s="34"/>
    </row>
  </sheetData>
  <customSheetViews>
    <customSheetView guid="{D28585A0-5D39-432E-81ED-6A20A7471F73}" showGridLines="0">
      <selection activeCell="C28" sqref="C28"/>
      <pageMargins left="0.7" right="0.7" top="0.75" bottom="0.75" header="0.3" footer="0.3"/>
      <pageSetup paperSize="9" orientation="portrait" r:id="rId1"/>
    </customSheetView>
    <customSheetView guid="{566BD698-1192-4E29-A1DB-0EA15F9BC81B}" showGridLines="0">
      <selection activeCell="C28" sqref="C28"/>
      <pageMargins left="0.7" right="0.7" top="0.75" bottom="0.75" header="0.3" footer="0.3"/>
      <pageSetup paperSize="9" orientation="portrait" r:id="rId2"/>
    </customSheetView>
  </customSheetViews>
  <phoneticPr fontId="10" type="noConversion"/>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18"/>
  <sheetViews>
    <sheetView zoomScale="85" zoomScaleNormal="85" workbookViewId="0">
      <selection activeCell="J13" sqref="J13:J17"/>
    </sheetView>
  </sheetViews>
  <sheetFormatPr defaultRowHeight="12.75"/>
  <cols>
    <col min="1" max="1" width="10.85546875" customWidth="1"/>
    <col min="2" max="2" width="19.28515625" customWidth="1"/>
    <col min="3" max="3" width="27" customWidth="1"/>
    <col min="4" max="4" width="23.42578125" customWidth="1"/>
    <col min="5" max="5" width="28" customWidth="1"/>
    <col min="6" max="6" width="9.140625" hidden="1" customWidth="1"/>
    <col min="7" max="7" width="17.85546875" hidden="1" customWidth="1"/>
    <col min="8" max="8" width="27.7109375" customWidth="1"/>
    <col min="9" max="9" width="28" customWidth="1"/>
    <col min="10" max="10" width="20.140625" customWidth="1"/>
    <col min="11" max="11" width="24.28515625" customWidth="1"/>
    <col min="12" max="12" width="21.85546875" customWidth="1"/>
  </cols>
  <sheetData>
    <row r="1" spans="1:12" ht="20.25" customHeight="1">
      <c r="A1" s="58" t="s">
        <v>208</v>
      </c>
      <c r="B1" s="58" t="s">
        <v>209</v>
      </c>
      <c r="C1" s="58" t="s">
        <v>210</v>
      </c>
      <c r="D1" s="58" t="s">
        <v>179</v>
      </c>
      <c r="E1" s="58" t="s">
        <v>176</v>
      </c>
      <c r="F1" s="58" t="s">
        <v>177</v>
      </c>
      <c r="G1" s="58" t="s">
        <v>178</v>
      </c>
      <c r="H1" s="58" t="s">
        <v>179</v>
      </c>
      <c r="I1" s="58" t="s">
        <v>226</v>
      </c>
      <c r="J1" s="63" t="s">
        <v>227</v>
      </c>
      <c r="K1" s="58" t="s">
        <v>228</v>
      </c>
      <c r="L1" s="63" t="s">
        <v>229</v>
      </c>
    </row>
    <row r="2" spans="1:12" ht="33">
      <c r="A2" s="96" t="s">
        <v>167</v>
      </c>
      <c r="B2" s="97" t="s">
        <v>168</v>
      </c>
      <c r="C2" s="59" t="s">
        <v>180</v>
      </c>
      <c r="D2" s="99" t="s">
        <v>215</v>
      </c>
      <c r="E2" s="59" t="s">
        <v>181</v>
      </c>
      <c r="F2" s="59"/>
      <c r="G2" s="59"/>
      <c r="H2" s="59" t="s">
        <v>182</v>
      </c>
      <c r="I2" s="59" t="s">
        <v>224</v>
      </c>
      <c r="J2" s="59" t="s">
        <v>214</v>
      </c>
      <c r="K2" s="59" t="s">
        <v>224</v>
      </c>
      <c r="L2" s="59" t="s">
        <v>214</v>
      </c>
    </row>
    <row r="3" spans="1:12" ht="33" customHeight="1">
      <c r="A3" s="96"/>
      <c r="B3" s="97"/>
      <c r="C3" s="59" t="s">
        <v>169</v>
      </c>
      <c r="D3" s="100"/>
      <c r="E3" s="59" t="s">
        <v>183</v>
      </c>
      <c r="F3" s="59"/>
      <c r="G3" s="59"/>
      <c r="H3" s="59" t="s">
        <v>184</v>
      </c>
      <c r="I3" s="59" t="s">
        <v>213</v>
      </c>
      <c r="J3" s="59" t="s">
        <v>214</v>
      </c>
      <c r="K3" s="59" t="s">
        <v>213</v>
      </c>
      <c r="L3" s="59" t="s">
        <v>214</v>
      </c>
    </row>
    <row r="4" spans="1:12" ht="82.5" customHeight="1">
      <c r="A4" s="96"/>
      <c r="B4" s="98" t="s">
        <v>217</v>
      </c>
      <c r="C4" s="59" t="s">
        <v>216</v>
      </c>
      <c r="D4" s="71" t="s">
        <v>247</v>
      </c>
      <c r="E4" s="59" t="s">
        <v>185</v>
      </c>
      <c r="F4" s="59"/>
      <c r="G4" s="59"/>
      <c r="H4" s="71" t="s">
        <v>247</v>
      </c>
      <c r="I4" s="99" t="s">
        <v>213</v>
      </c>
      <c r="J4" s="99" t="s">
        <v>225</v>
      </c>
      <c r="K4" s="99" t="s">
        <v>213</v>
      </c>
      <c r="L4" s="102" t="s">
        <v>246</v>
      </c>
    </row>
    <row r="5" spans="1:12" ht="33" customHeight="1">
      <c r="A5" s="96"/>
      <c r="B5" s="98"/>
      <c r="C5" s="59" t="s">
        <v>223</v>
      </c>
      <c r="D5" s="71" t="s">
        <v>248</v>
      </c>
      <c r="E5" s="59" t="s">
        <v>244</v>
      </c>
      <c r="F5" s="59"/>
      <c r="G5" s="59"/>
      <c r="H5" s="71" t="s">
        <v>248</v>
      </c>
      <c r="I5" s="100"/>
      <c r="J5" s="100"/>
      <c r="K5" s="100"/>
      <c r="L5" s="103"/>
    </row>
    <row r="6" spans="1:12" ht="27.75" customHeight="1">
      <c r="A6" s="96"/>
      <c r="B6" s="98"/>
      <c r="C6" s="69" t="s">
        <v>170</v>
      </c>
      <c r="D6" s="71"/>
      <c r="E6" s="69" t="s">
        <v>170</v>
      </c>
      <c r="F6" s="59"/>
      <c r="G6" s="59"/>
      <c r="H6" s="71"/>
      <c r="I6" s="100"/>
      <c r="J6" s="100"/>
      <c r="K6" s="100"/>
      <c r="L6" s="103"/>
    </row>
    <row r="7" spans="1:12" ht="20.25" customHeight="1">
      <c r="A7" s="96"/>
      <c r="B7" s="98"/>
      <c r="C7" s="69" t="s">
        <v>171</v>
      </c>
      <c r="D7" s="71"/>
      <c r="E7" s="69" t="s">
        <v>233</v>
      </c>
      <c r="F7" s="59"/>
      <c r="G7" s="59"/>
      <c r="H7" s="71"/>
      <c r="I7" s="101"/>
      <c r="J7" s="101"/>
      <c r="K7" s="101"/>
      <c r="L7" s="104"/>
    </row>
    <row r="8" spans="1:12" ht="33">
      <c r="A8" s="96"/>
      <c r="B8" s="60" t="s">
        <v>186</v>
      </c>
      <c r="C8" s="59" t="s">
        <v>172</v>
      </c>
      <c r="D8" s="61" t="s">
        <v>219</v>
      </c>
      <c r="E8" s="59" t="s">
        <v>187</v>
      </c>
      <c r="F8" s="59"/>
      <c r="G8" s="59"/>
      <c r="H8" s="59" t="s">
        <v>188</v>
      </c>
      <c r="I8" s="59" t="s">
        <v>213</v>
      </c>
      <c r="J8" s="59" t="s">
        <v>230</v>
      </c>
      <c r="K8" s="59" t="s">
        <v>213</v>
      </c>
      <c r="L8" s="59" t="s">
        <v>230</v>
      </c>
    </row>
    <row r="9" spans="1:12" ht="16.5">
      <c r="A9" s="96"/>
      <c r="B9" s="97" t="s">
        <v>189</v>
      </c>
      <c r="C9" s="59" t="s">
        <v>173</v>
      </c>
      <c r="D9" s="102" t="s">
        <v>218</v>
      </c>
      <c r="E9" s="59" t="s">
        <v>173</v>
      </c>
      <c r="F9" s="59"/>
      <c r="G9" s="59"/>
      <c r="H9" s="59" t="s">
        <v>190</v>
      </c>
      <c r="I9" s="99" t="s">
        <v>213</v>
      </c>
      <c r="J9" s="99" t="s">
        <v>231</v>
      </c>
      <c r="K9" s="99" t="s">
        <v>213</v>
      </c>
      <c r="L9" s="99" t="s">
        <v>231</v>
      </c>
    </row>
    <row r="10" spans="1:12" ht="16.5">
      <c r="A10" s="96"/>
      <c r="B10" s="97"/>
      <c r="C10" s="59" t="s">
        <v>174</v>
      </c>
      <c r="D10" s="103"/>
      <c r="E10" s="59" t="s">
        <v>191</v>
      </c>
      <c r="F10" s="59"/>
      <c r="G10" s="59"/>
      <c r="H10" s="59" t="s">
        <v>190</v>
      </c>
      <c r="I10" s="100"/>
      <c r="J10" s="100"/>
      <c r="K10" s="100"/>
      <c r="L10" s="100"/>
    </row>
    <row r="11" spans="1:12" ht="16.5">
      <c r="A11" s="96"/>
      <c r="B11" s="97"/>
      <c r="C11" s="65" t="s">
        <v>232</v>
      </c>
      <c r="D11" s="104"/>
      <c r="E11" s="65" t="s">
        <v>192</v>
      </c>
      <c r="F11" s="59"/>
      <c r="G11" s="59"/>
      <c r="H11" s="59" t="s">
        <v>193</v>
      </c>
      <c r="I11" s="101"/>
      <c r="J11" s="101"/>
      <c r="K11" s="101"/>
      <c r="L11" s="101"/>
    </row>
    <row r="12" spans="1:12" ht="33">
      <c r="A12" s="96" t="s">
        <v>175</v>
      </c>
      <c r="B12" s="60" t="s">
        <v>194</v>
      </c>
      <c r="C12" s="59" t="s">
        <v>240</v>
      </c>
      <c r="D12" s="62" t="s">
        <v>220</v>
      </c>
      <c r="E12" s="59" t="s">
        <v>195</v>
      </c>
      <c r="F12" s="59"/>
      <c r="G12" s="59"/>
      <c r="H12" s="59" t="s">
        <v>196</v>
      </c>
      <c r="I12" s="59" t="s">
        <v>234</v>
      </c>
      <c r="J12" s="59" t="s">
        <v>235</v>
      </c>
      <c r="K12" s="59" t="s">
        <v>245</v>
      </c>
      <c r="L12" s="59" t="s">
        <v>245</v>
      </c>
    </row>
    <row r="13" spans="1:12" ht="33">
      <c r="A13" s="96"/>
      <c r="B13" s="97" t="s">
        <v>197</v>
      </c>
      <c r="C13" s="59" t="s">
        <v>238</v>
      </c>
      <c r="D13" s="102" t="s">
        <v>221</v>
      </c>
      <c r="E13" s="59" t="s">
        <v>198</v>
      </c>
      <c r="F13" s="59"/>
      <c r="G13" s="59"/>
      <c r="H13" s="59" t="s">
        <v>199</v>
      </c>
      <c r="I13" s="99" t="s">
        <v>234</v>
      </c>
      <c r="J13" s="99" t="s">
        <v>236</v>
      </c>
      <c r="K13" s="99" t="s">
        <v>245</v>
      </c>
      <c r="L13" s="99" t="s">
        <v>245</v>
      </c>
    </row>
    <row r="14" spans="1:12" ht="16.5">
      <c r="A14" s="96"/>
      <c r="B14" s="97"/>
      <c r="C14" s="59" t="s">
        <v>200</v>
      </c>
      <c r="D14" s="103"/>
      <c r="E14" s="59" t="s">
        <v>200</v>
      </c>
      <c r="F14" s="59"/>
      <c r="G14" s="59"/>
      <c r="H14" s="59" t="s">
        <v>199</v>
      </c>
      <c r="I14" s="100"/>
      <c r="J14" s="100"/>
      <c r="K14" s="100"/>
      <c r="L14" s="100"/>
    </row>
    <row r="15" spans="1:12" ht="16.5">
      <c r="A15" s="96"/>
      <c r="B15" s="97"/>
      <c r="C15" s="69" t="s">
        <v>242</v>
      </c>
      <c r="D15" s="103"/>
      <c r="E15" s="69" t="s">
        <v>201</v>
      </c>
      <c r="F15" s="59"/>
      <c r="G15" s="59"/>
      <c r="H15" s="59" t="s">
        <v>199</v>
      </c>
      <c r="I15" s="100"/>
      <c r="J15" s="100"/>
      <c r="K15" s="100"/>
      <c r="L15" s="100"/>
    </row>
    <row r="16" spans="1:12" ht="33">
      <c r="A16" s="96"/>
      <c r="B16" s="97"/>
      <c r="C16" s="70" t="s">
        <v>239</v>
      </c>
      <c r="D16" s="103"/>
      <c r="E16" s="70" t="s">
        <v>202</v>
      </c>
      <c r="F16" s="59"/>
      <c r="G16" s="59"/>
      <c r="H16" s="59" t="s">
        <v>199</v>
      </c>
      <c r="I16" s="100"/>
      <c r="J16" s="100"/>
      <c r="K16" s="100"/>
      <c r="L16" s="100"/>
    </row>
    <row r="17" spans="1:12" ht="16.5">
      <c r="A17" s="96"/>
      <c r="B17" s="97"/>
      <c r="C17" s="59" t="s">
        <v>203</v>
      </c>
      <c r="D17" s="104"/>
      <c r="E17" s="59" t="s">
        <v>203</v>
      </c>
      <c r="F17" s="59"/>
      <c r="G17" s="59"/>
      <c r="H17" s="59" t="s">
        <v>204</v>
      </c>
      <c r="I17" s="101"/>
      <c r="J17" s="101"/>
      <c r="K17" s="101"/>
      <c r="L17" s="101"/>
    </row>
    <row r="18" spans="1:12" ht="33">
      <c r="A18" s="96"/>
      <c r="B18" s="60" t="s">
        <v>205</v>
      </c>
      <c r="C18" s="59" t="s">
        <v>241</v>
      </c>
      <c r="D18" s="64" t="s">
        <v>222</v>
      </c>
      <c r="E18" s="62" t="s">
        <v>206</v>
      </c>
      <c r="F18" s="59"/>
      <c r="G18" s="59"/>
      <c r="H18" s="59" t="s">
        <v>207</v>
      </c>
      <c r="I18" s="59" t="s">
        <v>234</v>
      </c>
      <c r="J18" s="59" t="s">
        <v>237</v>
      </c>
      <c r="K18" s="59" t="s">
        <v>245</v>
      </c>
      <c r="L18" s="59" t="s">
        <v>245</v>
      </c>
    </row>
  </sheetData>
  <customSheetViews>
    <customSheetView guid="{D28585A0-5D39-432E-81ED-6A20A7471F73}" scale="85" hiddenColumns="1">
      <selection activeCell="J13" sqref="J13:J17"/>
      <pageMargins left="0.7" right="0.7" top="0.75" bottom="0.75" header="0.3" footer="0.3"/>
      <pageSetup paperSize="9" orientation="portrait" horizontalDpi="90" verticalDpi="90" r:id="rId1"/>
    </customSheetView>
    <customSheetView guid="{566BD698-1192-4E29-A1DB-0EA15F9BC81B}" scale="85" hiddenColumns="1">
      <selection activeCell="J13" sqref="J13:J17"/>
      <pageMargins left="0.7" right="0.7" top="0.75" bottom="0.75" header="0.3" footer="0.3"/>
      <pageSetup paperSize="9" orientation="portrait" horizontalDpi="90" verticalDpi="90" r:id="rId2"/>
    </customSheetView>
  </customSheetViews>
  <mergeCells count="21">
    <mergeCell ref="J4:J7"/>
    <mergeCell ref="I13:I17"/>
    <mergeCell ref="J13:J17"/>
    <mergeCell ref="I9:I11"/>
    <mergeCell ref="J9:J11"/>
    <mergeCell ref="A12:A18"/>
    <mergeCell ref="B2:B3"/>
    <mergeCell ref="B4:B7"/>
    <mergeCell ref="K4:K7"/>
    <mergeCell ref="L4:L7"/>
    <mergeCell ref="K9:K11"/>
    <mergeCell ref="L9:L11"/>
    <mergeCell ref="K13:K17"/>
    <mergeCell ref="L13:L17"/>
    <mergeCell ref="A2:A11"/>
    <mergeCell ref="D2:D3"/>
    <mergeCell ref="B9:B11"/>
    <mergeCell ref="D9:D11"/>
    <mergeCell ref="B13:B17"/>
    <mergeCell ref="D13:D17"/>
    <mergeCell ref="I4:I7"/>
  </mergeCells>
  <phoneticPr fontId="23" type="noConversion"/>
  <pageMargins left="0.7" right="0.7" top="0.75" bottom="0.75" header="0.3" footer="0.3"/>
  <pageSetup paperSize="9" orientation="portrait" horizontalDpi="90" verticalDpi="90"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DureOS-LIN</vt:lpstr>
      <vt:lpstr>Revision History</vt:lpstr>
      <vt:lpstr>Schedule Table</vt:lpstr>
      <vt:lpstr>open topics</vt:lpstr>
      <vt:lpstr>语音-LIN_map</vt:lpstr>
      <vt:lpstr>'DureOS-LIN'!Print_Area</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czl9q0</dc:creator>
  <cp:lastModifiedBy>Yin, Joss (X.)</cp:lastModifiedBy>
  <cp:lastPrinted>2015-06-30T08:44:17Z</cp:lastPrinted>
  <dcterms:created xsi:type="dcterms:W3CDTF">2009-12-02T06:37:23Z</dcterms:created>
  <dcterms:modified xsi:type="dcterms:W3CDTF">2020-07-13T12:54:02Z</dcterms:modified>
</cp:coreProperties>
</file>