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revisions/userNames1.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Headers.xml" ContentType="application/vnd.openxmlformats-officedocument.spreadsheetml.revisionHeaders+xml"/>
  <Override PartName="/xl/revisions/revisionLog3.xml" ContentType="application/vnd.openxmlformats-officedocument.spreadsheetml.revisionLog+xml"/>
  <Override PartName="/xl/revisions/revisionLog2.xml" ContentType="application/vnd.openxmlformats-officedocument.spreadsheetml.revisionLog+xml"/>
  <Override PartName="/xl/revisions/revisionLog6.xml" ContentType="application/vnd.openxmlformats-officedocument.spreadsheetml.revisionLog+xml"/>
  <Override PartName="/xl/revisions/revisionLog1.xml" ContentType="application/vnd.openxmlformats-officedocument.spreadsheetml.revisionLog+xml"/>
  <Override PartName="/xl/revisions/revisionLog5.xml" ContentType="application/vnd.openxmlformats-officedocument.spreadsheetml.revisionLog+xml"/>
  <Override PartName="/xl/revisions/revisionLog10.xml" ContentType="application/vnd.openxmlformats-officedocument.spreadsheetml.revisionLog+xml"/>
  <Override PartName="/xl/revisions/revisionLog4.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xyin10\Desktop\Sunroof_LIN\"/>
    </mc:Choice>
  </mc:AlternateContent>
  <xr:revisionPtr revIDLastSave="0" documentId="13_ncr:81_{8869FE8F-0886-416E-AD20-E4D69695B575}" xr6:coauthVersionLast="41" xr6:coauthVersionMax="41" xr10:uidLastSave="{00000000-0000-0000-0000-000000000000}"/>
  <workbookProtection lockRevision="1"/>
  <bookViews>
    <workbookView xWindow="-120" yWindow="-120" windowWidth="25440" windowHeight="15390" tabRatio="902" activeTab="4" xr2:uid="{00000000-000D-0000-FFFF-FFFF00000000}"/>
  </bookViews>
  <sheets>
    <sheet name="DureOS-LIN" sheetId="1" r:id="rId1"/>
    <sheet name="Schedule Table" sheetId="2" r:id="rId2"/>
    <sheet name="open topics" sheetId="3" r:id="rId3"/>
    <sheet name="语音-LIN_map" sheetId="4" state="hidden" r:id="rId4"/>
    <sheet name="语音_LINmap" sheetId="6" r:id="rId5"/>
    <sheet name="Revision History" sheetId="5" r:id="rId6"/>
  </sheets>
  <definedNames>
    <definedName name="_xlnm._FilterDatabase" localSheetId="0" hidden="1">'DureOS-LIN'!$A$2:$HK$304</definedName>
    <definedName name="_xlnm.Print_Area" localSheetId="0">'DureOS-LIN'!$A$2:$AN$233</definedName>
    <definedName name="Z_566BD698_1192_4E29_A1DB_0EA15F9BC81B_.wvu.Cols" localSheetId="0" hidden="1">'DureOS-LIN'!$I:$V</definedName>
    <definedName name="Z_566BD698_1192_4E29_A1DB_0EA15F9BC81B_.wvu.Cols" localSheetId="3" hidden="1">'语音-LIN_map'!$F:$G</definedName>
    <definedName name="Z_566BD698_1192_4E29_A1DB_0EA15F9BC81B_.wvu.FilterData" localSheetId="0" hidden="1">'DureOS-LIN'!$A$2:$HK$304</definedName>
    <definedName name="Z_566BD698_1192_4E29_A1DB_0EA15F9BC81B_.wvu.PrintArea" localSheetId="0" hidden="1">'DureOS-LIN'!$A$2:$AN$233</definedName>
    <definedName name="Z_D28585A0_5D39_432E_81ED_6A20A7471F73_.wvu.Cols" localSheetId="0" hidden="1">'DureOS-LIN'!$I:$V</definedName>
    <definedName name="Z_D28585A0_5D39_432E_81ED_6A20A7471F73_.wvu.Cols" localSheetId="4" hidden="1">语音_LINmap!$F:$G</definedName>
    <definedName name="Z_D28585A0_5D39_432E_81ED_6A20A7471F73_.wvu.Cols" localSheetId="3" hidden="1">'语音-LIN_map'!$F:$G</definedName>
    <definedName name="Z_D28585A0_5D39_432E_81ED_6A20A7471F73_.wvu.FilterData" localSheetId="0" hidden="1">'DureOS-LIN'!$A$2:$HK$304</definedName>
    <definedName name="Z_D28585A0_5D39_432E_81ED_6A20A7471F73_.wvu.PrintArea" localSheetId="0" hidden="1">'DureOS-LIN'!$A$2:$AN$233</definedName>
  </definedNames>
  <calcPr calcId="191029"/>
  <customWorkbookViews>
    <customWorkbookView name="Yin, Joss (X.) - Personal View" guid="{D28585A0-5D39-432E-81ED-6A20A7471F73}" mergeInterval="0" personalView="1" maximized="1" xWindow="-8" yWindow="-8" windowWidth="1696" windowHeight="1026" tabRatio="902" activeSheetId="6"/>
    <customWorkbookView name="Xing, Mingxu - Personal View" guid="{566BD698-1192-4E29-A1DB-0EA15F9BC81B}" mergeInterval="0" personalView="1" maximized="1" xWindow="-2891" yWindow="-11" windowWidth="2902" windowHeight="1762" tabRatio="902"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8" i="5" l="1"/>
  <c r="M8" i="5" s="1"/>
  <c r="L9" i="5" s="1"/>
  <c r="M9" i="5" s="1"/>
  <c r="L10" i="5" s="1"/>
  <c r="M10" i="5" s="1"/>
  <c r="L4" i="5"/>
  <c r="M4" i="5" s="1"/>
  <c r="L5" i="5" s="1"/>
  <c r="M5" i="5" s="1"/>
  <c r="L6" i="5" s="1"/>
  <c r="M6" i="5" s="1"/>
  <c r="J8" i="1" l="1"/>
  <c r="K8" i="1" s="1"/>
  <c r="J9" i="1" s="1"/>
  <c r="K9" i="1" s="1"/>
  <c r="J10" i="1" s="1"/>
  <c r="K10" i="1" s="1"/>
  <c r="J11" i="1" s="1"/>
  <c r="K11" i="1" s="1"/>
  <c r="J12" i="1" l="1"/>
  <c r="K12" i="1" s="1"/>
  <c r="J13" i="1" s="1"/>
  <c r="K13" i="1" l="1"/>
  <c r="J14" i="1" s="1"/>
  <c r="K14" i="1" s="1"/>
  <c r="J15" i="1" s="1"/>
  <c r="K15" i="1" s="1"/>
  <c r="J16" i="1" l="1"/>
  <c r="K16" i="1" s="1"/>
  <c r="J17" i="1" l="1"/>
  <c r="K17" i="1" l="1"/>
  <c r="J18" i="1" s="1"/>
  <c r="K18" i="1" l="1"/>
  <c r="J19" i="1" s="1"/>
  <c r="K19" i="1" l="1"/>
  <c r="J20" i="1" s="1"/>
  <c r="K20" i="1" l="1"/>
  <c r="J21" i="1" s="1"/>
  <c r="K21" i="1" l="1"/>
  <c r="J22" i="1" s="1"/>
  <c r="K22" i="1" s="1"/>
  <c r="J23" i="1" s="1"/>
  <c r="K23" i="1" s="1"/>
  <c r="J24" i="1" s="1"/>
  <c r="K24" i="1" s="1"/>
  <c r="J25" i="1" s="1"/>
  <c r="K25" i="1" s="1"/>
  <c r="J26" i="1" s="1"/>
  <c r="K26" i="1" s="1"/>
  <c r="J27" i="1" s="1"/>
  <c r="K27" i="1" s="1"/>
  <c r="J28" i="1" l="1"/>
  <c r="K28" i="1" s="1"/>
  <c r="J29" i="1" l="1"/>
  <c r="K29" i="1" s="1"/>
  <c r="J30" i="1" l="1"/>
  <c r="K30" i="1" s="1"/>
  <c r="J31" i="1" l="1"/>
  <c r="K31" i="1" s="1"/>
  <c r="J32" i="1" l="1"/>
  <c r="K32" i="1" s="1"/>
</calcChain>
</file>

<file path=xl/sharedStrings.xml><?xml version="1.0" encoding="utf-8"?>
<sst xmlns="http://schemas.openxmlformats.org/spreadsheetml/2006/main" count="846" uniqueCount="276">
  <si>
    <t>No.</t>
    <phoneticPr fontId="14" type="noConversion"/>
  </si>
  <si>
    <t>Signal Name</t>
  </si>
  <si>
    <t>Signal Description</t>
    <phoneticPr fontId="14" type="noConversion"/>
  </si>
  <si>
    <t>Message 
Name</t>
    <phoneticPr fontId="10" type="noConversion"/>
  </si>
  <si>
    <t>Byte Order</t>
    <phoneticPr fontId="10" type="noConversion"/>
  </si>
  <si>
    <t>Comment</t>
    <phoneticPr fontId="14" type="noConversion"/>
  </si>
  <si>
    <t>Receiver</t>
    <phoneticPr fontId="14" type="noConversion"/>
  </si>
  <si>
    <t>Receiver</t>
    <phoneticPr fontId="10" type="noConversion"/>
  </si>
  <si>
    <t>Transmitter</t>
    <phoneticPr fontId="10" type="noConversion"/>
  </si>
  <si>
    <t>Offset</t>
    <phoneticPr fontId="10" type="noConversion"/>
  </si>
  <si>
    <t>P-Minimum</t>
    <phoneticPr fontId="10" type="noConversion"/>
  </si>
  <si>
    <t>P-Maximum</t>
    <phoneticPr fontId="10" type="noConversion"/>
  </si>
  <si>
    <t>Message ID
(HEX)</t>
    <phoneticPr fontId="10" type="noConversion"/>
  </si>
  <si>
    <t>Msb</t>
    <phoneticPr fontId="10" type="noConversion"/>
  </si>
  <si>
    <t>Lsb</t>
    <phoneticPr fontId="10" type="noConversion"/>
  </si>
  <si>
    <t>Coding</t>
    <phoneticPr fontId="10" type="noConversion"/>
  </si>
  <si>
    <t>Used by function</t>
    <phoneticPr fontId="14" type="noConversion"/>
  </si>
  <si>
    <t>Data Type</t>
    <phoneticPr fontId="10" type="noConversion"/>
  </si>
  <si>
    <t>Checksum Type</t>
    <phoneticPr fontId="10" type="noConversion"/>
  </si>
  <si>
    <t>size
[bit]</t>
    <phoneticPr fontId="10" type="noConversion"/>
  </si>
  <si>
    <t>Alternative value</t>
    <phoneticPr fontId="10" type="noConversion"/>
  </si>
  <si>
    <t>Factor</t>
    <phoneticPr fontId="10" type="noConversion"/>
  </si>
  <si>
    <t>Unit</t>
    <phoneticPr fontId="10" type="noConversion"/>
  </si>
  <si>
    <t>Intel</t>
  </si>
  <si>
    <t>/</t>
  </si>
  <si>
    <t>SunRoof</t>
    <phoneticPr fontId="0" type="noConversion"/>
  </si>
  <si>
    <t>Unsigned</t>
  </si>
  <si>
    <t>Enhanced</t>
  </si>
  <si>
    <t>/</t>
    <phoneticPr fontId="14" type="noConversion"/>
  </si>
  <si>
    <t>X</t>
    <phoneticPr fontId="10" type="noConversion"/>
  </si>
  <si>
    <t>/</t>
    <phoneticPr fontId="10" type="noConversion"/>
  </si>
  <si>
    <t>keep last value</t>
  </si>
  <si>
    <t>Unsigned</t>
    <phoneticPr fontId="14" type="noConversion"/>
  </si>
  <si>
    <t>X</t>
    <phoneticPr fontId="10" type="noConversion"/>
  </si>
  <si>
    <t>SunRoof</t>
    <phoneticPr fontId="14" type="noConversion"/>
  </si>
  <si>
    <t>/</t>
    <phoneticPr fontId="10" type="noConversion"/>
  </si>
  <si>
    <t>Unsigned</t>
    <phoneticPr fontId="14" type="noConversion"/>
  </si>
  <si>
    <t>/</t>
    <phoneticPr fontId="14" type="noConversion"/>
  </si>
  <si>
    <t>0x0: No Error
0x1: Error</t>
  </si>
  <si>
    <t>keep last value</t>
    <phoneticPr fontId="10" type="noConversion"/>
  </si>
  <si>
    <t>Report Relay status</t>
    <phoneticPr fontId="10" type="noConversion"/>
  </si>
  <si>
    <t>unsigned</t>
    <phoneticPr fontId="14" type="noConversion"/>
  </si>
  <si>
    <t xml:space="preserve">0x0: No Error
0x1: Error </t>
  </si>
  <si>
    <t>Report  over temperature</t>
    <phoneticPr fontId="10" type="noConversion"/>
  </si>
  <si>
    <t>Sunroof movement</t>
    <phoneticPr fontId="10" type="noConversion"/>
  </si>
  <si>
    <t>keep last value</t>
    <phoneticPr fontId="14" type="noConversion"/>
  </si>
  <si>
    <t>Sunroof normalized</t>
    <phoneticPr fontId="10" type="noConversion"/>
  </si>
  <si>
    <t>sunroof &amp; sunshade initializing</t>
    <phoneticPr fontId="10" type="noConversion"/>
  </si>
  <si>
    <t>0x0:  not in the Initializating
0x1: in the Initializating</t>
    <phoneticPr fontId="14" type="noConversion"/>
  </si>
  <si>
    <t>Sunroof teach run</t>
    <phoneticPr fontId="10" type="noConversion"/>
  </si>
  <si>
    <t>0x0: No teach run
0x1: Teach run successful</t>
  </si>
  <si>
    <t>unsigned</t>
    <phoneticPr fontId="14" type="noConversion"/>
  </si>
  <si>
    <t>keep last value</t>
    <phoneticPr fontId="10" type="noConversion"/>
  </si>
  <si>
    <t>/</t>
    <phoneticPr fontId="14" type="noConversion"/>
  </si>
  <si>
    <t>Sunshade movement</t>
    <phoneticPr fontId="14" type="noConversion"/>
  </si>
  <si>
    <t>/</t>
    <phoneticPr fontId="10" type="noConversion"/>
  </si>
  <si>
    <t>Sunshade normalized</t>
  </si>
  <si>
    <t>0x0: not normalized
0x1: normalized</t>
  </si>
  <si>
    <t>Sunshade teach run</t>
  </si>
  <si>
    <t>X</t>
  </si>
  <si>
    <t>0x0</t>
    <phoneticPr fontId="10" type="noConversion"/>
  </si>
  <si>
    <t>/</t>
    <phoneticPr fontId="10" type="noConversion"/>
  </si>
  <si>
    <t>0x1</t>
    <phoneticPr fontId="10" type="noConversion"/>
  </si>
  <si>
    <r>
      <t>0</t>
    </r>
    <r>
      <rPr>
        <sz val="10"/>
        <rFont val="Arial"/>
        <family val="2"/>
      </rPr>
      <t>x</t>
    </r>
    <r>
      <rPr>
        <sz val="10"/>
        <rFont val="Arial"/>
        <family val="2"/>
      </rPr>
      <t>7</t>
    </r>
    <phoneticPr fontId="10" type="noConversion"/>
  </si>
  <si>
    <t>No.</t>
    <phoneticPr fontId="10" type="noConversion"/>
  </si>
  <si>
    <t>Delay[ms]</t>
    <phoneticPr fontId="10" type="noConversion"/>
  </si>
  <si>
    <t>Cycle[ms]</t>
    <phoneticPr fontId="10" type="noConversion"/>
  </si>
  <si>
    <t>SunRoof</t>
    <phoneticPr fontId="10" type="noConversion"/>
  </si>
  <si>
    <t>enhanced</t>
  </si>
  <si>
    <t>0x0</t>
    <phoneticPr fontId="8" type="noConversion"/>
  </si>
  <si>
    <t>x</t>
  </si>
  <si>
    <t>0x0</t>
    <phoneticPr fontId="8" type="noConversion"/>
  </si>
  <si>
    <t>/</t>
    <phoneticPr fontId="10" type="noConversion"/>
  </si>
  <si>
    <t>Unsigned</t>
    <phoneticPr fontId="14" type="noConversion"/>
  </si>
  <si>
    <t>/</t>
    <phoneticPr fontId="14" type="noConversion"/>
  </si>
  <si>
    <r>
      <t xml:space="preserve">voice control for sunroof or 
cell APP telematics control for sunroof
</t>
    </r>
    <r>
      <rPr>
        <sz val="10"/>
        <color theme="1"/>
        <rFont val="宋体"/>
        <family val="3"/>
        <charset val="134"/>
      </rPr>
      <t/>
    </r>
    <phoneticPr fontId="10" type="noConversion"/>
  </si>
  <si>
    <t>Unsigned</t>
    <phoneticPr fontId="14" type="noConversion"/>
  </si>
  <si>
    <r>
      <t xml:space="preserve">voice control for sunshade or
cell APP telematics control for sunroof
</t>
    </r>
    <r>
      <rPr>
        <sz val="10"/>
        <color theme="1"/>
        <rFont val="宋体"/>
        <family val="3"/>
        <charset val="134"/>
      </rPr>
      <t/>
    </r>
    <phoneticPr fontId="10" type="noConversion"/>
  </si>
  <si>
    <t>/</t>
    <phoneticPr fontId="10" type="noConversion"/>
  </si>
  <si>
    <t>Unsigned</t>
    <phoneticPr fontId="14" type="noConversion"/>
  </si>
  <si>
    <t>/</t>
    <phoneticPr fontId="14" type="noConversion"/>
  </si>
  <si>
    <t xml:space="preserve">
Report sunroof position</t>
    <phoneticPr fontId="10" type="noConversion"/>
  </si>
  <si>
    <t>SunRoof_1</t>
    <phoneticPr fontId="10" type="noConversion"/>
  </si>
  <si>
    <t>x</t>
    <phoneticPr fontId="10" type="noConversion"/>
  </si>
  <si>
    <t>Report Sunshade position</t>
    <phoneticPr fontId="10" type="noConversion"/>
  </si>
  <si>
    <t>SR Curtain anti-pinch</t>
    <phoneticPr fontId="10" type="noConversion"/>
  </si>
  <si>
    <t>SS Curtain anti-pinch</t>
    <phoneticPr fontId="10" type="noConversion"/>
  </si>
  <si>
    <t>x</t>
    <phoneticPr fontId="10" type="noConversion"/>
  </si>
  <si>
    <t>SunRoof_1</t>
    <phoneticPr fontId="14" type="noConversion"/>
  </si>
  <si>
    <t>SunRoof</t>
  </si>
  <si>
    <t>Check error happen Reporting to the Network</t>
  </si>
  <si>
    <t>0x0</t>
  </si>
  <si>
    <r>
      <t xml:space="preserve">
</t>
    </r>
    <r>
      <rPr>
        <sz val="10"/>
        <color theme="1"/>
        <rFont val="Arial"/>
        <family val="2"/>
      </rPr>
      <t>/</t>
    </r>
  </si>
  <si>
    <r>
      <t>SunRoof</t>
    </r>
    <r>
      <rPr>
        <sz val="10"/>
        <rFont val="Arial"/>
        <family val="2"/>
      </rPr>
      <t>_</t>
    </r>
    <r>
      <rPr>
        <sz val="10"/>
        <rFont val="Arial"/>
        <family val="2"/>
      </rPr>
      <t>1</t>
    </r>
    <phoneticPr fontId="10" type="noConversion"/>
  </si>
  <si>
    <t>Default Initialised value</t>
    <phoneticPr fontId="10" type="noConversion"/>
  </si>
  <si>
    <t>DureOS</t>
  </si>
  <si>
    <t>Bit Length</t>
  </si>
  <si>
    <t xml:space="preserve">APIM_CISM </t>
  </si>
  <si>
    <t>APIM_CISM</t>
  </si>
  <si>
    <t xml:space="preserve">SunRoof </t>
  </si>
  <si>
    <t>Message 1</t>
  </si>
  <si>
    <t>APIM_Ctrl</t>
  </si>
  <si>
    <t>SS mode</t>
  </si>
  <si>
    <t>SunRoof_1</t>
  </si>
  <si>
    <t>Report sunshade Relay status</t>
  </si>
  <si>
    <t>Report sunshade Hall sensor status</t>
  </si>
  <si>
    <t>Report sunshade over temperature</t>
  </si>
  <si>
    <t>Frame Name</t>
  </si>
  <si>
    <t>Dure OS</t>
  </si>
  <si>
    <t>Sunroof</t>
  </si>
  <si>
    <t>xxxxx</t>
  </si>
  <si>
    <t>Frame ID</t>
  </si>
  <si>
    <t>TBD</t>
  </si>
  <si>
    <t>topic</t>
  </si>
  <si>
    <t>content</t>
  </si>
  <si>
    <t>wake up</t>
  </si>
  <si>
    <t>position feedback</t>
  </si>
  <si>
    <t>在DureOS无法发唤醒帧的情况下
天窗控制器唤醒后的500ms内不响应动作，500ms内会反馈初始状态信息，500ms后（ECU自身的初始化所需最大时间）反馈正式信息</t>
  </si>
  <si>
    <t>位置反馈精度为 +/-5%
增加未初始化状态的定义:
0x67  Uninitialized
建议当前只使用整数位的位置反馈时，根据反馈的精度DureOS做一下区间的划分，比如15%～25%划分为 20%
百分比为滑动区间的开度百分比，在机械组未到达水平滑动位置前的百分比会与实际测量到的百分比有较大误差</t>
  </si>
  <si>
    <t xml:space="preserve">位置反馈精度为 +/-5%
当整车只需要显示位置10% 20% ～90%时
建议整车，根据反馈的精度DureOS做一下区间的划分，比如16%～25%划分为 20%，26%~35%为30% 依此类推
百分比为滑动区间的开度百分比，在机械组未到达水平滑动位置前的百分比会与实际测量到的百分比有较大误差
</t>
  </si>
  <si>
    <t>位置反馈精度为 +/-5%
增加未初始化状态的定义:
0x65  Uninitialized
建议当前只使用整数位的位置反馈时，根据反馈的精度DureOS做一下区间的划分，比如15%～25%划分为 20%
百分比为滑动区间的开度百分比，在机械组未到达水平滑动位置前的百分比会与实际测量到的百分比有较大误差</t>
  </si>
  <si>
    <t>Dure OS Schedule Table（通信速率 = 10.4Kbps）</t>
  </si>
  <si>
    <t>0x2</t>
  </si>
  <si>
    <t>0x11</t>
  </si>
  <si>
    <t>0x10</t>
  </si>
  <si>
    <t>Report Hall sensor status</t>
  </si>
  <si>
    <t>0x0: normal 
0x1: active</t>
  </si>
  <si>
    <t xml:space="preserve">0x0: Stopped
0x1: Reserved
0x2: Reserved
0x3: Opening slide
0x4: Closing slide
0x5: Reversing(AP/Stall)
0x6: Moving Uninitialized
0x7: Reserved
</t>
    <phoneticPr fontId="10" type="noConversion"/>
  </si>
  <si>
    <t>0x0:not normalized
0x1:normalized</t>
    <phoneticPr fontId="10" type="noConversion"/>
  </si>
  <si>
    <t>0x0: No teach run
0x1: Teach run successful</t>
    <phoneticPr fontId="10" type="noConversion"/>
  </si>
  <si>
    <t>0x0: normal 
0x1: active</t>
    <phoneticPr fontId="10" type="noConversion"/>
  </si>
  <si>
    <t>0x0</t>
    <phoneticPr fontId="17" type="noConversion"/>
  </si>
  <si>
    <t>SunroofDSPLStatusAntiPinch</t>
    <phoneticPr fontId="10" type="noConversion"/>
  </si>
  <si>
    <t>SunroofDSPLStatusPosition</t>
    <phoneticPr fontId="10" type="noConversion"/>
  </si>
  <si>
    <t>SunroofDSPLStatusMovement</t>
    <phoneticPr fontId="10" type="noConversion"/>
  </si>
  <si>
    <t>SunroofDSPLStatusAntiPinchSS</t>
    <phoneticPr fontId="10" type="noConversion"/>
  </si>
  <si>
    <t>SunroofDSPLStatusPositionSS</t>
    <phoneticPr fontId="10" type="noConversion"/>
  </si>
  <si>
    <t>SunroofDSPLStatusMovementSS</t>
    <phoneticPr fontId="10" type="noConversion"/>
  </si>
  <si>
    <t>SunroofDSPLStatusNetwork</t>
    <phoneticPr fontId="10" type="noConversion"/>
  </si>
  <si>
    <t>SunroofDSPLStatusHallSensor</t>
    <phoneticPr fontId="10" type="noConversion"/>
  </si>
  <si>
    <t>SunroofDSPLStatusRelay</t>
    <phoneticPr fontId="10" type="noConversion"/>
  </si>
  <si>
    <t>SunroofDSPLStatusOvertemp</t>
    <phoneticPr fontId="10" type="noConversion"/>
  </si>
  <si>
    <t>SunroofDSPLStatusNormalization</t>
    <phoneticPr fontId="10" type="noConversion"/>
  </si>
  <si>
    <t>SunroofDSPLStatusInitialization</t>
    <phoneticPr fontId="10" type="noConversion"/>
  </si>
  <si>
    <t>SunroofDSPLStatusLearn</t>
    <phoneticPr fontId="10" type="noConversion"/>
  </si>
  <si>
    <t>SunroofDSPLStatusRelaySS</t>
    <phoneticPr fontId="10" type="noConversion"/>
  </si>
  <si>
    <t>SunroofDSPLStatusHallSensorSS</t>
    <phoneticPr fontId="10" type="noConversion"/>
  </si>
  <si>
    <t>SunroofDSPLStatusOvertempSS</t>
    <phoneticPr fontId="10" type="noConversion"/>
  </si>
  <si>
    <t>SunroofDSPLStatusModeSS</t>
    <phoneticPr fontId="10" type="noConversion"/>
  </si>
  <si>
    <t>SunroofDSPLStatusNormalizationSS</t>
    <phoneticPr fontId="10" type="noConversion"/>
  </si>
  <si>
    <t>SunroofDSPLStatusLearnSS</t>
    <phoneticPr fontId="10" type="noConversion"/>
  </si>
  <si>
    <t>0x0: Stopped
0x1: Opening tilt
0x2: Closing tilt
0x3: Opening slide
0x4: Closing slide 
0x5:Reversing (AP/Stall)
0x6: Moving uninitialized
0x7: reserved</t>
    <phoneticPr fontId="10" type="noConversion"/>
  </si>
  <si>
    <t>SunroofDSPLStatusInitializationSS</t>
    <phoneticPr fontId="10" type="noConversion"/>
  </si>
  <si>
    <r>
      <t>0</t>
    </r>
    <r>
      <rPr>
        <sz val="10"/>
        <rFont val="Arial"/>
        <family val="2"/>
      </rPr>
      <t>x28</t>
    </r>
    <phoneticPr fontId="10" type="noConversion"/>
  </si>
  <si>
    <t>0x29</t>
  </si>
  <si>
    <t>0x29</t>
    <phoneticPr fontId="10" type="noConversion"/>
  </si>
  <si>
    <t>0x0:normal(delay ACC = H)
0x1:standby(delay ACC = L)</t>
    <phoneticPr fontId="10" type="noConversion"/>
  </si>
  <si>
    <t>SRLINStatus</t>
    <phoneticPr fontId="10" type="noConversion"/>
  </si>
  <si>
    <t>SunRoof_1</t>
    <phoneticPr fontId="10" type="noConversion"/>
  </si>
  <si>
    <t>not used</t>
    <phoneticPr fontId="14" type="noConversion"/>
  </si>
  <si>
    <t>status of slave node</t>
    <phoneticPr fontId="14" type="noConversion"/>
  </si>
  <si>
    <t>0x00: default value
0x05: reserved</t>
  </si>
  <si>
    <t>SunroofDSPLStatusOvervoltage</t>
    <phoneticPr fontId="14" type="noConversion"/>
  </si>
  <si>
    <t>SunroofDSPLStatusUndervoltage</t>
    <phoneticPr fontId="14" type="noConversion"/>
  </si>
  <si>
    <t>SunroofDSPLStatusOvervoltageSS</t>
    <phoneticPr fontId="14" type="noConversion"/>
  </si>
  <si>
    <t>SunroofDSPLStatusUndervoltageSS</t>
    <phoneticPr fontId="14" type="noConversion"/>
  </si>
  <si>
    <t>SR_APINFO_4</t>
    <phoneticPr fontId="14" type="noConversion"/>
  </si>
  <si>
    <t>天窗</t>
  </si>
  <si>
    <t>天窗全开</t>
  </si>
  <si>
    <t>我想看星星</t>
  </si>
  <si>
    <t>开一点天窗</t>
  </si>
  <si>
    <t>关一点天窗</t>
  </si>
  <si>
    <t>关闭天窗</t>
  </si>
  <si>
    <t>天窗起翘</t>
  </si>
  <si>
    <t>翘起天窗</t>
  </si>
  <si>
    <t>遮阳帘</t>
  </si>
  <si>
    <t>百度指令</t>
    <phoneticPr fontId="23" type="noConversion"/>
  </si>
  <si>
    <t>泛化指令</t>
    <phoneticPr fontId="23" type="noConversion"/>
  </si>
  <si>
    <t>前端反应</t>
    <phoneticPr fontId="23" type="noConversion"/>
  </si>
  <si>
    <t>TTS反馈</t>
    <phoneticPr fontId="23" type="noConversion"/>
  </si>
  <si>
    <t>全开天窗</t>
    <phoneticPr fontId="23" type="noConversion"/>
  </si>
  <si>
    <t>天窗全开</t>
    <phoneticPr fontId="23" type="noConversion"/>
  </si>
  <si>
    <t>天窗已全开</t>
    <phoneticPr fontId="23" type="noConversion"/>
  </si>
  <si>
    <t>我想看月亮/看夜空</t>
    <phoneticPr fontId="23" type="noConversion"/>
  </si>
  <si>
    <t>好的，你可以抬头了</t>
    <phoneticPr fontId="23" type="noConversion"/>
  </si>
  <si>
    <t>打开天窗</t>
    <phoneticPr fontId="23" type="noConversion"/>
  </si>
  <si>
    <t>天窗全关</t>
    <phoneticPr fontId="23" type="noConversion"/>
  </si>
  <si>
    <t>关上/关掉天窗</t>
    <phoneticPr fontId="23" type="noConversion"/>
  </si>
  <si>
    <t>天窗已关闭</t>
    <phoneticPr fontId="23" type="noConversion"/>
  </si>
  <si>
    <t>天窗起翘</t>
    <phoneticPr fontId="23" type="noConversion"/>
  </si>
  <si>
    <t>天窗已翘起</t>
    <phoneticPr fontId="23" type="noConversion"/>
  </si>
  <si>
    <t>翘起天窗</t>
    <phoneticPr fontId="23" type="noConversion"/>
  </si>
  <si>
    <t>透点风/有点闷</t>
    <phoneticPr fontId="23" type="noConversion"/>
  </si>
  <si>
    <t>好的，已为你打开天窗</t>
    <phoneticPr fontId="23" type="noConversion"/>
  </si>
  <si>
    <t>遮阳帘全开</t>
  </si>
  <si>
    <t>遮阳帘全开</t>
    <phoneticPr fontId="23" type="noConversion"/>
  </si>
  <si>
    <t>遮阳帘已打开</t>
    <phoneticPr fontId="23" type="noConversion"/>
  </si>
  <si>
    <t>遮阳帘半开/半关（舒适）</t>
    <phoneticPr fontId="23" type="noConversion"/>
  </si>
  <si>
    <t>打开遮阳帘</t>
    <phoneticPr fontId="23" type="noConversion"/>
  </si>
  <si>
    <t>遮阳帘已半开</t>
    <phoneticPr fontId="23" type="noConversion"/>
  </si>
  <si>
    <t>遮阳帘半开</t>
  </si>
  <si>
    <t>开一点遮阳帘</t>
  </si>
  <si>
    <t>关一点遮阳帘（在全开的时候有效）</t>
    <phoneticPr fontId="23" type="noConversion"/>
  </si>
  <si>
    <t>有点晒</t>
    <phoneticPr fontId="23" type="noConversion"/>
  </si>
  <si>
    <t>好的，已为你打开遮阳帘</t>
    <phoneticPr fontId="23" type="noConversion"/>
  </si>
  <si>
    <t>遮阳帘全关</t>
  </si>
  <si>
    <t>关上/关掉遮阳帘</t>
    <phoneticPr fontId="23" type="noConversion"/>
  </si>
  <si>
    <t>遮阳帘已关闭</t>
    <phoneticPr fontId="23" type="noConversion"/>
  </si>
  <si>
    <t>二级功能</t>
    <phoneticPr fontId="23" type="noConversion"/>
  </si>
  <si>
    <t>控制范围</t>
    <phoneticPr fontId="23" type="noConversion"/>
  </si>
  <si>
    <t>指令基线</t>
    <phoneticPr fontId="23" type="noConversion"/>
  </si>
  <si>
    <t>APIM_sunroof_control</t>
    <phoneticPr fontId="14" type="noConversion"/>
  </si>
  <si>
    <t>APIM_sunshsade_control</t>
    <phoneticPr fontId="14" type="noConversion"/>
  </si>
  <si>
    <t>APIM_sunroof_control;
APIM_sunshsade_control</t>
    <phoneticPr fontId="23" type="noConversion"/>
  </si>
  <si>
    <t>0x0a;
0x00</t>
    <phoneticPr fontId="23" type="noConversion"/>
  </si>
  <si>
    <t xml:space="preserve">天窗已全开
</t>
    <phoneticPr fontId="23" type="noConversion"/>
  </si>
  <si>
    <t>打开天窗（注意该指令对应天窗半开）</t>
    <phoneticPr fontId="23" type="noConversion"/>
  </si>
  <si>
    <t>天窗舒适</t>
    <phoneticPr fontId="23" type="noConversion"/>
  </si>
  <si>
    <t xml:space="preserve">天窗已翘起
</t>
    <phoneticPr fontId="23" type="noConversion"/>
  </si>
  <si>
    <t xml:space="preserve">天窗已关闭
</t>
    <phoneticPr fontId="23" type="noConversion"/>
  </si>
  <si>
    <t xml:space="preserve">遮阳帘已打开
</t>
    <phoneticPr fontId="23" type="noConversion"/>
  </si>
  <si>
    <t xml:space="preserve">遮阳帘已半开
</t>
    <phoneticPr fontId="23" type="noConversion"/>
  </si>
  <si>
    <t xml:space="preserve">遮阳帘已关闭
</t>
    <phoneticPr fontId="23" type="noConversion"/>
  </si>
  <si>
    <t>天窗半开</t>
    <phoneticPr fontId="23" type="noConversion"/>
  </si>
  <si>
    <t>APIM_sunroof_control；
APIM_sunshsade_control</t>
    <phoneticPr fontId="23" type="noConversion"/>
  </si>
  <si>
    <t>0x0d;
0x00</t>
    <phoneticPr fontId="23" type="noConversion"/>
  </si>
  <si>
    <t>0x0b;
0x00</t>
    <phoneticPr fontId="23" type="noConversion"/>
  </si>
  <si>
    <t>0x0c;
0x00</t>
    <phoneticPr fontId="23" type="noConversion"/>
  </si>
  <si>
    <t>透点风</t>
    <phoneticPr fontId="23" type="noConversion"/>
  </si>
  <si>
    <t>关一点天窗</t>
    <phoneticPr fontId="23" type="noConversion"/>
  </si>
  <si>
    <t>APIM_sunroof_control;
APIM_sunshsade_control</t>
    <phoneticPr fontId="23" type="noConversion"/>
  </si>
  <si>
    <t>0x00;
0x0a;</t>
    <phoneticPr fontId="23" type="noConversion"/>
  </si>
  <si>
    <t>0x00;
0x0c;</t>
    <phoneticPr fontId="23" type="noConversion"/>
  </si>
  <si>
    <t>0x00;
0x0b;</t>
    <phoneticPr fontId="23" type="noConversion"/>
  </si>
  <si>
    <t>打开遮阳帘（注意该指令对应遮阳帘半开）</t>
    <phoneticPr fontId="23" type="noConversion"/>
  </si>
  <si>
    <t>关一点遮阳帘</t>
    <phoneticPr fontId="23" type="noConversion"/>
  </si>
  <si>
    <t>遮阳帘全开</t>
    <phoneticPr fontId="23" type="noConversion"/>
  </si>
  <si>
    <t>关闭遮阳帘</t>
    <phoneticPr fontId="23" type="noConversion"/>
  </si>
  <si>
    <t>开一点遮阳帘</t>
    <phoneticPr fontId="23" type="noConversion"/>
  </si>
  <si>
    <t>Message 2</t>
    <phoneticPr fontId="14" type="noConversion"/>
  </si>
  <si>
    <t>天窗半开</t>
    <phoneticPr fontId="23" type="noConversion"/>
  </si>
  <si>
    <t>n/a</t>
    <phoneticPr fontId="23" type="noConversion"/>
  </si>
  <si>
    <t>0x05;
0x00</t>
    <phoneticPr fontId="23" type="noConversion"/>
  </si>
  <si>
    <t>天窗已打开</t>
    <phoneticPr fontId="23" type="noConversion"/>
  </si>
  <si>
    <t>天窗已打开</t>
    <phoneticPr fontId="23" type="noConversion"/>
  </si>
  <si>
    <t>0x00: no fault
0x01: reset
0x02: reserved
0x03: reserved
0x04: data error
0x05: chechsum error
0x06: byte Field Framing Error
0x07: reserved</t>
  </si>
  <si>
    <r>
      <rPr>
        <b/>
        <sz val="10"/>
        <color rgb="FF0070C0"/>
        <rFont val="Arial"/>
        <family val="2"/>
      </rPr>
      <t>0x00:init</t>
    </r>
    <r>
      <rPr>
        <sz val="10"/>
        <rFont val="Arial"/>
        <family val="2"/>
      </rPr>
      <t xml:space="preserve">
0x01:10%
0x02:20%
0x03:30%
0x04:40%
0x05:50%
0x06:60%
0x07:70%
0x08:80%
0x09:90%
0x0a:Fully open
0x0b: Fully close
0x0e:Uninitialized
0x0f:mid</t>
    </r>
  </si>
  <si>
    <r>
      <t>0x00: no error
0x0</t>
    </r>
    <r>
      <rPr>
        <sz val="10"/>
        <color theme="6" tint="-0.249977111117893"/>
        <rFont val="Arial"/>
        <family val="2"/>
      </rPr>
      <t>1</t>
    </r>
    <r>
      <rPr>
        <sz val="10"/>
        <rFont val="Arial"/>
        <family val="2"/>
      </rPr>
      <t>: under voltage</t>
    </r>
  </si>
  <si>
    <r>
      <t>0x0: no error
0x</t>
    </r>
    <r>
      <rPr>
        <sz val="10"/>
        <color theme="6" tint="-0.249977111117893"/>
        <rFont val="Arial"/>
        <family val="2"/>
      </rPr>
      <t>0</t>
    </r>
    <r>
      <rPr>
        <sz val="10"/>
        <rFont val="Arial"/>
        <family val="2"/>
      </rPr>
      <t>1: over voltage</t>
    </r>
  </si>
  <si>
    <t>SROvervoltage</t>
    <phoneticPr fontId="14" type="noConversion"/>
  </si>
  <si>
    <t>SRUndervoltage</t>
    <phoneticPr fontId="14" type="noConversion"/>
  </si>
  <si>
    <t>SSOvervoltage</t>
    <phoneticPr fontId="14" type="noConversion"/>
  </si>
  <si>
    <t>SSUndervoltage</t>
    <phoneticPr fontId="14" type="noConversion"/>
  </si>
  <si>
    <t>Before change</t>
    <phoneticPr fontId="10" type="noConversion"/>
  </si>
  <si>
    <t>After change</t>
    <phoneticPr fontId="10" type="noConversion"/>
  </si>
  <si>
    <t>SR_APINFO_0</t>
    <phoneticPr fontId="14" type="noConversion"/>
  </si>
  <si>
    <t>SR_APINFO_1</t>
  </si>
  <si>
    <t>SR_APINFO_2</t>
  </si>
  <si>
    <t>SR_APINFO_3</t>
  </si>
  <si>
    <t>Date</t>
    <phoneticPr fontId="14" type="noConversion"/>
  </si>
  <si>
    <t>ChangeContent</t>
    <phoneticPr fontId="14" type="noConversion"/>
  </si>
  <si>
    <r>
      <t xml:space="preserve">0x00:no action
</t>
    </r>
    <r>
      <rPr>
        <sz val="10"/>
        <color theme="9" tint="-0.249977111117893"/>
        <rFont val="Arial"/>
        <family val="2"/>
      </rPr>
      <t>0x01:10%
0x02:20%
0x03:30%
0x04:40%
0x05:50%</t>
    </r>
    <r>
      <rPr>
        <sz val="10"/>
        <rFont val="Arial"/>
        <family val="2"/>
      </rPr>
      <t xml:space="preserve">
</t>
    </r>
    <r>
      <rPr>
        <sz val="10"/>
        <color theme="9" tint="-0.249977111117893"/>
        <rFont val="Arial"/>
        <family val="2"/>
      </rPr>
      <t>0x06:60%
0x07:70%
0x08:80%
0x09:90%</t>
    </r>
    <r>
      <rPr>
        <strike/>
        <sz val="10"/>
        <rFont val="Arial"/>
        <family val="2"/>
      </rPr>
      <t xml:space="preserve">
</t>
    </r>
    <r>
      <rPr>
        <sz val="10"/>
        <rFont val="Arial"/>
        <family val="2"/>
      </rPr>
      <t xml:space="preserve">0x0a:Fully open
0x0b:Fully close
</t>
    </r>
    <r>
      <rPr>
        <b/>
        <sz val="10"/>
        <color rgb="FFFF0000"/>
        <rFont val="Arial"/>
        <family val="2"/>
      </rPr>
      <t>0x0c:mid</t>
    </r>
    <r>
      <rPr>
        <sz val="10"/>
        <rFont val="Arial"/>
        <family val="2"/>
      </rPr>
      <t xml:space="preserve">
</t>
    </r>
    <r>
      <rPr>
        <sz val="10"/>
        <color theme="9" tint="-0.249977111117893"/>
        <rFont val="Arial"/>
        <family val="2"/>
      </rPr>
      <t>0x0d: +10%
0x0e: -10%</t>
    </r>
    <phoneticPr fontId="14" type="noConversion"/>
  </si>
  <si>
    <r>
      <t xml:space="preserve">0x00:no action
</t>
    </r>
    <r>
      <rPr>
        <sz val="10"/>
        <color theme="9" tint="-0.249977111117893"/>
        <rFont val="Arial"/>
        <family val="2"/>
      </rPr>
      <t>0x01:10%
0x02:20%
0x03:30%
0x04:40%</t>
    </r>
    <r>
      <rPr>
        <strike/>
        <sz val="10"/>
        <color theme="9" tint="-0.249977111117893"/>
        <rFont val="Arial"/>
        <family val="2"/>
      </rPr>
      <t xml:space="preserve">
</t>
    </r>
    <r>
      <rPr>
        <sz val="10"/>
        <color theme="9" tint="-0.249977111117893"/>
        <rFont val="Arial"/>
        <family val="2"/>
      </rPr>
      <t>0x05:50%
0x06:60%
0x07:70%
0x08:80%
0x09:90%</t>
    </r>
    <r>
      <rPr>
        <strike/>
        <sz val="10"/>
        <rFont val="Arial"/>
        <family val="2"/>
      </rPr>
      <t xml:space="preserve">
</t>
    </r>
    <r>
      <rPr>
        <sz val="10"/>
        <rFont val="Arial"/>
        <family val="2"/>
      </rPr>
      <t xml:space="preserve">0x0a:Fully open
0x0b:Fully close
0x0c:tilt up
</t>
    </r>
    <r>
      <rPr>
        <b/>
        <sz val="10"/>
        <color rgb="FFFF0000"/>
        <rFont val="Arial"/>
        <family val="2"/>
      </rPr>
      <t>0x0d:comfort</t>
    </r>
    <r>
      <rPr>
        <sz val="10"/>
        <rFont val="Arial"/>
        <family val="2"/>
      </rPr>
      <t xml:space="preserve">
</t>
    </r>
    <r>
      <rPr>
        <sz val="10"/>
        <color theme="9" tint="-0.249977111117893"/>
        <rFont val="Arial"/>
        <family val="2"/>
      </rPr>
      <t xml:space="preserve">0x0e:+10%
</t>
    </r>
    <r>
      <rPr>
        <b/>
        <sz val="10"/>
        <color theme="9" tint="-0.249977111117893"/>
        <rFont val="Arial"/>
        <family val="2"/>
      </rPr>
      <t>0x0f: -10%</t>
    </r>
    <phoneticPr fontId="14" type="noConversion"/>
  </si>
  <si>
    <r>
      <rPr>
        <sz val="10"/>
        <color rgb="FF0070C0"/>
        <rFont val="Arial"/>
        <family val="2"/>
      </rPr>
      <t>0x00: init</t>
    </r>
    <r>
      <rPr>
        <sz val="10"/>
        <rFont val="Arial"/>
        <family val="2"/>
      </rPr>
      <t xml:space="preserve">
0x01:10%
0x02:20%
0x03:30%
0x04:40%
0x05:50%
0x06:60%
0x07:70%
0x08:80%
0x09:90%
0x0a:Fully open
0x0b: Fully close
0x0c: tilt up
0x0d: Vent area
0x0e: Uninitialized
</t>
    </r>
    <r>
      <rPr>
        <b/>
        <sz val="10"/>
        <color rgb="FF0070C0"/>
        <rFont val="Arial"/>
        <family val="2"/>
      </rPr>
      <t>0xf: comfort</t>
    </r>
    <phoneticPr fontId="14" type="noConversion"/>
  </si>
  <si>
    <t>LIN_Message_A1GAB</t>
    <phoneticPr fontId="23" type="noConversion"/>
  </si>
  <si>
    <t>LIN_value_A1GAB</t>
    <phoneticPr fontId="10" type="noConversion"/>
  </si>
  <si>
    <t>LIN_Message_A1GAP/CHAAC</t>
    <phoneticPr fontId="23" type="noConversion"/>
  </si>
  <si>
    <t>LIN_value_A1GAP/CHAAC</t>
    <phoneticPr fontId="10" type="noConversion"/>
  </si>
  <si>
    <t>LIN_Message_CHABB</t>
    <phoneticPr fontId="23" type="noConversion"/>
  </si>
  <si>
    <t>LIN_value_CHABB</t>
    <phoneticPr fontId="10" type="noConversion"/>
  </si>
  <si>
    <t>n/a</t>
    <phoneticPr fontId="23" type="noConversion"/>
  </si>
  <si>
    <t xml:space="preserve">
</t>
    <phoneticPr fontId="23" type="noConversion"/>
  </si>
  <si>
    <t>遮阳帘已关闭</t>
    <phoneticPr fontId="10" type="noConversion"/>
  </si>
  <si>
    <t>APIM_sunroof_control;
APIM_sunshsade_control</t>
    <phoneticPr fontId="10" type="noConversion"/>
  </si>
  <si>
    <t>0x00;
0x0b;</t>
    <phoneticPr fontId="10" type="noConversion"/>
  </si>
  <si>
    <t>n/a</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</si>
</sst>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809]dd\ mmmm\ yyyy;@"/>
  </numFmts>
  <fonts count="38">
    <font>
      <sz val="10"/>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0"/>
      <name val="Arial"/>
      <family val="2"/>
    </font>
    <font>
      <b/>
      <sz val="12"/>
      <name val="Arial"/>
      <family val="2"/>
    </font>
    <font>
      <sz val="9"/>
      <name val="宋体"/>
      <family val="3"/>
      <charset val="134"/>
    </font>
    <font>
      <sz val="10"/>
      <color theme="1"/>
      <name val="Arial"/>
      <family val="2"/>
    </font>
    <font>
      <sz val="12"/>
      <name val="宋体"/>
      <family val="3"/>
      <charset val="134"/>
    </font>
    <font>
      <b/>
      <sz val="10"/>
      <name val="Arial"/>
      <family val="2"/>
    </font>
    <font>
      <sz val="10"/>
      <name val="MS Sans Serif"/>
      <family val="2"/>
    </font>
    <font>
      <sz val="12"/>
      <color theme="1"/>
      <name val="Arial"/>
      <family val="2"/>
    </font>
    <font>
      <sz val="10"/>
      <color theme="1"/>
      <name val="宋体"/>
      <family val="3"/>
      <charset val="134"/>
    </font>
    <font>
      <sz val="9"/>
      <name val="宋体"/>
      <family val="3"/>
      <charset val="134"/>
      <scheme val="minor"/>
    </font>
    <font>
      <sz val="11"/>
      <color theme="1"/>
      <name val="宋体"/>
      <family val="2"/>
      <scheme val="minor"/>
    </font>
    <font>
      <sz val="11"/>
      <name val="ＭＳ Ｐゴシック"/>
      <family val="2"/>
      <charset val="128"/>
    </font>
    <font>
      <b/>
      <sz val="10"/>
      <color theme="1"/>
      <name val="Arial"/>
      <family val="2"/>
    </font>
    <font>
      <sz val="10"/>
      <color rgb="FF7030A0"/>
      <name val="微软雅黑"/>
      <family val="2"/>
      <charset val="134"/>
    </font>
    <font>
      <b/>
      <sz val="10"/>
      <color rgb="FF00B050"/>
      <name val="微软雅黑"/>
      <family val="2"/>
      <charset val="134"/>
    </font>
    <font>
      <sz val="9"/>
      <name val="宋体"/>
      <family val="2"/>
      <charset val="134"/>
      <scheme val="minor"/>
    </font>
    <font>
      <b/>
      <sz val="10"/>
      <color rgb="FFFF0000"/>
      <name val="Arial"/>
      <family val="2"/>
    </font>
    <font>
      <strike/>
      <sz val="10"/>
      <color rgb="FF7030A0"/>
      <name val="微软雅黑"/>
      <family val="2"/>
      <charset val="134"/>
    </font>
    <font>
      <strike/>
      <sz val="10"/>
      <name val="Arial"/>
      <family val="2"/>
    </font>
    <font>
      <sz val="10"/>
      <color rgb="FF0070C0"/>
      <name val="Arial"/>
      <family val="2"/>
    </font>
    <font>
      <sz val="12"/>
      <color indexed="8"/>
      <name val="宋体"/>
      <family val="2"/>
      <scheme val="minor"/>
    </font>
    <font>
      <b/>
      <sz val="10"/>
      <color rgb="FF0070C0"/>
      <name val="Arial"/>
      <family val="2"/>
    </font>
    <font>
      <sz val="14"/>
      <color rgb="FF0070C0"/>
      <name val="Verdana"/>
      <family val="2"/>
    </font>
    <font>
      <b/>
      <sz val="12"/>
      <color rgb="FF0070C0"/>
      <name val="Arial"/>
      <family val="2"/>
    </font>
    <font>
      <sz val="10"/>
      <color theme="9" tint="-0.249977111117893"/>
      <name val="Arial"/>
      <family val="2"/>
    </font>
    <font>
      <strike/>
      <sz val="10"/>
      <color theme="9" tint="-0.249977111117893"/>
      <name val="Arial"/>
      <family val="2"/>
    </font>
    <font>
      <b/>
      <sz val="10"/>
      <color theme="9" tint="-0.249977111117893"/>
      <name val="Arial"/>
      <family val="2"/>
    </font>
    <font>
      <sz val="10"/>
      <color theme="6" tint="-0.249977111117893"/>
      <name val="Arial"/>
      <family val="2"/>
    </font>
    <font>
      <sz val="10"/>
      <color rgb="FF0070C0"/>
      <name val="微软雅黑"/>
      <family val="2"/>
      <charset val="134"/>
    </font>
    <font>
      <strike/>
      <sz val="10"/>
      <color rgb="FF0070C0"/>
      <name val="微软雅黑"/>
      <family val="2"/>
      <charset val="134"/>
    </font>
  </fonts>
  <fills count="12">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92D050"/>
        <bgColor indexed="64"/>
      </patternFill>
    </fill>
    <fill>
      <patternFill patternType="solid">
        <fgColor rgb="FFFFC000"/>
        <bgColor indexed="64"/>
      </patternFill>
    </fill>
    <fill>
      <patternFill patternType="solid">
        <fgColor theme="2" tint="-0.499984740745262"/>
        <bgColor indexed="64"/>
      </patternFill>
    </fill>
    <fill>
      <patternFill patternType="solid">
        <fgColor theme="7" tint="0.79998168889431442"/>
        <bgColor indexed="64"/>
      </patternFill>
    </fill>
    <fill>
      <patternFill patternType="solid">
        <fgColor theme="3"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s>
  <cellStyleXfs count="50">
    <xf numFmtId="176" fontId="0" fillId="0" borderId="0"/>
    <xf numFmtId="176" fontId="12" fillId="0" borderId="0"/>
    <xf numFmtId="176" fontId="14" fillId="0" borderId="0"/>
    <xf numFmtId="176" fontId="8" fillId="0" borderId="0"/>
    <xf numFmtId="176" fontId="8" fillId="0" borderId="0">
      <alignment vertical="center"/>
    </xf>
    <xf numFmtId="176" fontId="8" fillId="0" borderId="0"/>
    <xf numFmtId="176" fontId="8" fillId="0" borderId="0"/>
    <xf numFmtId="176" fontId="8" fillId="0" borderId="0"/>
    <xf numFmtId="176" fontId="12" fillId="0" borderId="0"/>
    <xf numFmtId="176" fontId="8" fillId="0" borderId="0">
      <alignment vertical="center"/>
    </xf>
    <xf numFmtId="176" fontId="8" fillId="0" borderId="0"/>
    <xf numFmtId="176" fontId="8" fillId="0" borderId="0"/>
    <xf numFmtId="176" fontId="12" fillId="0" borderId="0"/>
    <xf numFmtId="176" fontId="8" fillId="0" borderId="0"/>
    <xf numFmtId="176" fontId="8" fillId="0" borderId="0">
      <alignment vertical="center"/>
    </xf>
    <xf numFmtId="176" fontId="8" fillId="0" borderId="0"/>
    <xf numFmtId="176" fontId="8" fillId="0" borderId="0"/>
    <xf numFmtId="176" fontId="8" fillId="0" borderId="0"/>
    <xf numFmtId="176" fontId="12" fillId="0" borderId="0"/>
    <xf numFmtId="176" fontId="8" fillId="0" borderId="0">
      <alignment vertical="center"/>
    </xf>
    <xf numFmtId="176" fontId="8" fillId="0" borderId="0"/>
    <xf numFmtId="176" fontId="18" fillId="0" borderId="0"/>
    <xf numFmtId="176" fontId="8" fillId="0" borderId="0"/>
    <xf numFmtId="176" fontId="8" fillId="0" borderId="0"/>
    <xf numFmtId="176" fontId="8" fillId="0" borderId="0"/>
    <xf numFmtId="176" fontId="7" fillId="0" borderId="0">
      <alignment vertical="center"/>
    </xf>
    <xf numFmtId="176" fontId="8" fillId="0" borderId="0"/>
    <xf numFmtId="176" fontId="8" fillId="0" borderId="0"/>
    <xf numFmtId="176" fontId="6" fillId="0" borderId="0">
      <alignment vertical="center"/>
    </xf>
    <xf numFmtId="176" fontId="8" fillId="0" borderId="0"/>
    <xf numFmtId="176" fontId="6" fillId="0" borderId="0">
      <alignment vertical="center"/>
    </xf>
    <xf numFmtId="176" fontId="8" fillId="0" borderId="0">
      <alignment vertical="center"/>
    </xf>
    <xf numFmtId="176" fontId="8" fillId="0" borderId="0"/>
    <xf numFmtId="176" fontId="5" fillId="0" borderId="0">
      <alignment vertical="center"/>
    </xf>
    <xf numFmtId="176" fontId="18" fillId="0" borderId="0"/>
    <xf numFmtId="176" fontId="8" fillId="0" borderId="0"/>
    <xf numFmtId="176" fontId="19" fillId="0" borderId="0"/>
    <xf numFmtId="176" fontId="19" fillId="0" borderId="0">
      <alignment vertical="center"/>
    </xf>
    <xf numFmtId="176" fontId="5" fillId="0" borderId="0">
      <alignment vertical="center"/>
    </xf>
    <xf numFmtId="176" fontId="8" fillId="0" borderId="0"/>
    <xf numFmtId="176" fontId="8" fillId="0" borderId="0"/>
    <xf numFmtId="176" fontId="5" fillId="0" borderId="0">
      <alignment vertical="center"/>
    </xf>
    <xf numFmtId="176" fontId="5" fillId="0" borderId="0">
      <alignment vertical="center"/>
    </xf>
    <xf numFmtId="176" fontId="8" fillId="0" borderId="0">
      <alignment vertical="center"/>
    </xf>
    <xf numFmtId="176" fontId="8" fillId="0" borderId="0">
      <alignment vertical="center"/>
    </xf>
    <xf numFmtId="176" fontId="8" fillId="0" borderId="0"/>
    <xf numFmtId="176" fontId="8" fillId="0" borderId="0"/>
    <xf numFmtId="176" fontId="8" fillId="0" borderId="0"/>
    <xf numFmtId="176" fontId="8" fillId="0" borderId="0"/>
    <xf numFmtId="0" fontId="28" fillId="0" borderId="0"/>
  </cellStyleXfs>
  <cellXfs count="169">
    <xf numFmtId="176" fontId="0" fillId="0" borderId="0" xfId="0"/>
    <xf numFmtId="0" fontId="15" fillId="0" borderId="1" xfId="0" applyNumberFormat="1" applyFont="1" applyFill="1" applyBorder="1" applyAlignment="1">
      <alignment horizontal="center" wrapText="1"/>
    </xf>
    <xf numFmtId="0" fontId="11" fillId="0" borderId="1" xfId="0" applyNumberFormat="1" applyFont="1" applyFill="1" applyBorder="1" applyAlignment="1">
      <alignment horizontal="center" wrapText="1"/>
    </xf>
    <xf numFmtId="0" fontId="11" fillId="0" borderId="1" xfId="0" applyNumberFormat="1" applyFont="1" applyFill="1" applyBorder="1" applyAlignment="1">
      <alignment horizontal="left" wrapText="1"/>
    </xf>
    <xf numFmtId="0" fontId="11" fillId="0" borderId="1" xfId="0" applyNumberFormat="1" applyFont="1" applyFill="1" applyBorder="1" applyAlignment="1">
      <alignment horizontal="center"/>
    </xf>
    <xf numFmtId="0" fontId="11" fillId="0" borderId="0" xfId="0" applyNumberFormat="1" applyFont="1" applyFill="1" applyBorder="1" applyAlignment="1">
      <alignment horizontal="center"/>
    </xf>
    <xf numFmtId="0" fontId="0" fillId="0" borderId="1" xfId="0" applyNumberFormat="1" applyFill="1" applyBorder="1" applyAlignment="1">
      <alignment horizontal="left" wrapText="1"/>
    </xf>
    <xf numFmtId="0" fontId="0" fillId="0" borderId="0" xfId="0" applyNumberFormat="1" applyFill="1" applyBorder="1" applyAlignment="1">
      <alignment horizontal="center"/>
    </xf>
    <xf numFmtId="0" fontId="11" fillId="0" borderId="1" xfId="2" applyNumberFormat="1" applyFont="1" applyFill="1" applyBorder="1" applyAlignment="1">
      <alignment horizontal="center" wrapText="1"/>
    </xf>
    <xf numFmtId="0" fontId="0" fillId="0" borderId="1" xfId="0" applyNumberFormat="1" applyFill="1" applyBorder="1" applyAlignment="1">
      <alignment horizontal="center"/>
    </xf>
    <xf numFmtId="0" fontId="0" fillId="0" borderId="1" xfId="0" applyNumberFormat="1" applyFont="1" applyFill="1" applyBorder="1" applyAlignment="1">
      <alignment horizontal="center"/>
    </xf>
    <xf numFmtId="0" fontId="0" fillId="0" borderId="0" xfId="0" applyNumberFormat="1" applyFill="1" applyBorder="1" applyAlignment="1">
      <alignment horizontal="left"/>
    </xf>
    <xf numFmtId="0" fontId="13" fillId="2" borderId="1" xfId="0" applyNumberFormat="1" applyFont="1" applyFill="1" applyBorder="1" applyAlignment="1">
      <alignment horizontal="center" textRotation="90" wrapText="1"/>
    </xf>
    <xf numFmtId="0" fontId="0" fillId="0" borderId="1" xfId="2" applyNumberFormat="1" applyFont="1" applyFill="1" applyBorder="1" applyAlignment="1">
      <alignment horizontal="center"/>
    </xf>
    <xf numFmtId="0" fontId="8" fillId="0" borderId="1" xfId="0" applyNumberFormat="1" applyFont="1" applyFill="1" applyBorder="1" applyAlignment="1">
      <alignment horizontal="center"/>
    </xf>
    <xf numFmtId="0" fontId="8" fillId="0" borderId="1" xfId="2" applyNumberFormat="1" applyFont="1" applyFill="1" applyBorder="1" applyAlignment="1">
      <alignment horizontal="center" wrapText="1"/>
    </xf>
    <xf numFmtId="0" fontId="0" fillId="0" borderId="0" xfId="0" applyNumberFormat="1" applyFill="1" applyAlignment="1">
      <alignment horizontal="center"/>
    </xf>
    <xf numFmtId="0" fontId="11" fillId="0" borderId="0" xfId="0" applyNumberFormat="1" applyFont="1" applyFill="1" applyBorder="1" applyAlignment="1"/>
    <xf numFmtId="0" fontId="11" fillId="0" borderId="1" xfId="29" applyNumberFormat="1" applyFont="1" applyFill="1" applyBorder="1" applyAlignment="1">
      <alignment horizontal="left" wrapText="1"/>
    </xf>
    <xf numFmtId="0" fontId="11" fillId="0" borderId="1" xfId="29" applyNumberFormat="1" applyFont="1" applyFill="1" applyBorder="1" applyAlignment="1">
      <alignment horizontal="center" wrapText="1"/>
    </xf>
    <xf numFmtId="0" fontId="0" fillId="0" borderId="1" xfId="2" applyNumberFormat="1" applyFont="1" applyFill="1" applyBorder="1" applyAlignment="1">
      <alignment horizontal="center" wrapText="1"/>
    </xf>
    <xf numFmtId="0" fontId="8" fillId="0" borderId="1" xfId="29" applyNumberFormat="1" applyFont="1" applyFill="1" applyBorder="1" applyAlignment="1">
      <alignment horizontal="center" wrapText="1"/>
    </xf>
    <xf numFmtId="0" fontId="8" fillId="0" borderId="1" xfId="29" applyNumberFormat="1" applyFill="1" applyBorder="1" applyAlignment="1">
      <alignment horizontal="left" wrapText="1"/>
    </xf>
    <xf numFmtId="0" fontId="8" fillId="0" borderId="1" xfId="2" applyNumberFormat="1" applyFont="1" applyFill="1" applyBorder="1" applyAlignment="1">
      <alignment horizontal="center"/>
    </xf>
    <xf numFmtId="0" fontId="16" fillId="0" borderId="1" xfId="0" applyNumberFormat="1" applyFont="1" applyFill="1" applyBorder="1" applyAlignment="1">
      <alignment horizontal="center" wrapText="1"/>
    </xf>
    <xf numFmtId="0" fontId="11" fillId="0" borderId="0" xfId="0" applyNumberFormat="1" applyFont="1" applyFill="1" applyBorder="1" applyAlignment="1">
      <alignment horizontal="center" wrapText="1"/>
    </xf>
    <xf numFmtId="0" fontId="0" fillId="0" borderId="0" xfId="0" applyNumberFormat="1" applyAlignment="1">
      <alignment vertical="center"/>
    </xf>
    <xf numFmtId="0" fontId="0" fillId="0" borderId="0" xfId="0" applyNumberFormat="1" applyBorder="1" applyAlignment="1">
      <alignment horizontal="center" vertical="center"/>
    </xf>
    <xf numFmtId="0" fontId="9" fillId="2" borderId="1" xfId="0" applyNumberFormat="1" applyFont="1" applyFill="1" applyBorder="1" applyAlignment="1">
      <alignment horizontal="center" vertical="center"/>
    </xf>
    <xf numFmtId="0" fontId="0" fillId="0" borderId="1" xfId="0" applyNumberFormat="1" applyBorder="1" applyAlignment="1">
      <alignment horizontal="center" vertical="center"/>
    </xf>
    <xf numFmtId="0" fontId="4" fillId="0" borderId="1" xfId="2" applyNumberFormat="1" applyFont="1" applyFill="1" applyBorder="1" applyAlignment="1">
      <alignment horizontal="center" wrapText="1"/>
    </xf>
    <xf numFmtId="0" fontId="4" fillId="0" borderId="1" xfId="2" applyNumberFormat="1" applyFont="1" applyFill="1" applyBorder="1" applyAlignment="1">
      <alignment horizontal="center"/>
    </xf>
    <xf numFmtId="0" fontId="4" fillId="0" borderId="1" xfId="0" applyNumberFormat="1" applyFont="1" applyFill="1" applyBorder="1" applyAlignment="1">
      <alignment horizontal="left" wrapText="1"/>
    </xf>
    <xf numFmtId="0" fontId="4" fillId="0" borderId="1" xfId="0" applyNumberFormat="1" applyFont="1" applyFill="1" applyBorder="1" applyAlignment="1">
      <alignment horizontal="center"/>
    </xf>
    <xf numFmtId="0" fontId="0" fillId="0" borderId="0" xfId="0" applyNumberFormat="1"/>
    <xf numFmtId="176" fontId="0" fillId="0" borderId="0" xfId="0" applyAlignment="1">
      <alignment vertical="center"/>
    </xf>
    <xf numFmtId="176" fontId="0" fillId="0" borderId="1" xfId="0" applyBorder="1"/>
    <xf numFmtId="0" fontId="0" fillId="0" borderId="1" xfId="0" applyNumberFormat="1" applyBorder="1"/>
    <xf numFmtId="0" fontId="0" fillId="0" borderId="1" xfId="0" applyNumberFormat="1" applyBorder="1" applyAlignment="1">
      <alignment vertical="center"/>
    </xf>
    <xf numFmtId="176" fontId="0" fillId="0" borderId="1" xfId="0" applyBorder="1" applyAlignment="1">
      <alignment vertical="center" wrapText="1"/>
    </xf>
    <xf numFmtId="176" fontId="0" fillId="0" borderId="1" xfId="0" applyBorder="1" applyAlignment="1">
      <alignment wrapText="1"/>
    </xf>
    <xf numFmtId="0" fontId="11" fillId="0" borderId="1" xfId="0" applyNumberFormat="1" applyFont="1" applyFill="1" applyBorder="1" applyAlignment="1">
      <alignment horizontal="left" vertical="top" wrapText="1"/>
    </xf>
    <xf numFmtId="0" fontId="3" fillId="0" borderId="1" xfId="0" applyNumberFormat="1" applyFont="1" applyFill="1" applyBorder="1" applyAlignment="1">
      <alignment horizontal="center"/>
    </xf>
    <xf numFmtId="0" fontId="2" fillId="0" borderId="1" xfId="0" applyNumberFormat="1" applyFont="1" applyFill="1" applyBorder="1" applyAlignment="1">
      <alignment horizontal="left" wrapText="1"/>
    </xf>
    <xf numFmtId="0" fontId="0" fillId="0" borderId="1" xfId="2" applyNumberFormat="1" applyFont="1" applyFill="1" applyBorder="1" applyAlignment="1">
      <alignment horizontal="left" wrapText="1"/>
    </xf>
    <xf numFmtId="0" fontId="4" fillId="0" borderId="1" xfId="0" applyNumberFormat="1" applyFont="1" applyFill="1" applyBorder="1" applyAlignment="1">
      <alignment horizontal="center" vertical="center" wrapText="1"/>
    </xf>
    <xf numFmtId="0" fontId="4" fillId="0" borderId="1" xfId="0" applyNumberFormat="1" applyFont="1" applyFill="1" applyBorder="1" applyAlignment="1">
      <alignment horizontal="left" vertical="top" wrapText="1"/>
    </xf>
    <xf numFmtId="0" fontId="1" fillId="0" borderId="1" xfId="2" applyNumberFormat="1" applyFont="1" applyFill="1" applyBorder="1" applyAlignment="1">
      <alignment horizontal="left" wrapText="1"/>
    </xf>
    <xf numFmtId="0" fontId="1" fillId="0" borderId="1" xfId="0" applyNumberFormat="1" applyFont="1" applyFill="1" applyBorder="1" applyAlignment="1">
      <alignment horizontal="left" wrapText="1"/>
    </xf>
    <xf numFmtId="0" fontId="1" fillId="0" borderId="1" xfId="29" applyNumberFormat="1" applyFont="1" applyFill="1" applyBorder="1" applyAlignment="1">
      <alignment horizontal="left" wrapText="1"/>
    </xf>
    <xf numFmtId="0" fontId="1" fillId="0" borderId="1" xfId="2" applyNumberFormat="1" applyFont="1" applyFill="1" applyBorder="1" applyAlignment="1">
      <alignment horizontal="center"/>
    </xf>
    <xf numFmtId="0" fontId="1" fillId="0" borderId="1" xfId="2" applyNumberFormat="1" applyFont="1" applyFill="1" applyBorder="1" applyAlignment="1">
      <alignment horizontal="center" wrapText="1"/>
    </xf>
    <xf numFmtId="0" fontId="0" fillId="0" borderId="1" xfId="0" applyNumberFormat="1" applyFont="1" applyFill="1" applyBorder="1" applyAlignment="1">
      <alignment horizontal="left" wrapText="1"/>
    </xf>
    <xf numFmtId="0" fontId="0" fillId="0" borderId="0" xfId="0" applyNumberFormat="1" applyFill="1" applyBorder="1" applyAlignment="1">
      <alignment horizontal="left" wrapText="1"/>
    </xf>
    <xf numFmtId="0" fontId="20" fillId="0" borderId="1" xfId="0" applyNumberFormat="1" applyFont="1" applyFill="1" applyBorder="1" applyAlignment="1">
      <alignment horizontal="left" wrapText="1"/>
    </xf>
    <xf numFmtId="0" fontId="15" fillId="0" borderId="1" xfId="0" applyNumberFormat="1" applyFont="1" applyFill="1" applyBorder="1" applyAlignment="1">
      <alignment horizontal="left" wrapText="1"/>
    </xf>
    <xf numFmtId="0" fontId="4" fillId="0" borderId="1" xfId="2" applyNumberFormat="1" applyFont="1" applyFill="1" applyBorder="1" applyAlignment="1">
      <alignment horizontal="left" wrapText="1"/>
    </xf>
    <xf numFmtId="0" fontId="1" fillId="0" borderId="1" xfId="2" applyNumberFormat="1" applyFont="1" applyFill="1" applyBorder="1" applyAlignment="1">
      <alignment horizontal="left" vertical="top" wrapText="1"/>
    </xf>
    <xf numFmtId="176" fontId="22" fillId="4" borderId="1" xfId="0" applyFont="1" applyFill="1" applyBorder="1" applyAlignment="1">
      <alignment horizontal="center" vertical="center" wrapText="1"/>
    </xf>
    <xf numFmtId="176" fontId="21" fillId="0" borderId="1" xfId="0" applyFont="1" applyFill="1" applyBorder="1" applyAlignment="1">
      <alignment horizontal="left" vertical="center" wrapText="1"/>
    </xf>
    <xf numFmtId="176" fontId="21" fillId="0" borderId="1" xfId="0" applyFont="1" applyFill="1" applyBorder="1" applyAlignment="1">
      <alignment horizontal="center" vertical="center" wrapText="1"/>
    </xf>
    <xf numFmtId="176" fontId="21" fillId="0" borderId="5" xfId="0" applyFont="1" applyFill="1" applyBorder="1" applyAlignment="1">
      <alignment horizontal="left" vertical="center" wrapText="1"/>
    </xf>
    <xf numFmtId="176" fontId="21" fillId="0" borderId="4" xfId="0" applyFont="1" applyFill="1" applyBorder="1" applyAlignment="1">
      <alignment horizontal="left" vertical="center" wrapText="1"/>
    </xf>
    <xf numFmtId="176" fontId="22" fillId="4" borderId="6" xfId="0" applyFont="1" applyFill="1" applyBorder="1" applyAlignment="1">
      <alignment horizontal="center" vertical="center" wrapText="1"/>
    </xf>
    <xf numFmtId="176" fontId="21" fillId="0" borderId="4" xfId="0" applyFont="1" applyFill="1" applyBorder="1" applyAlignment="1">
      <alignment horizontal="left" vertical="center" wrapText="1"/>
    </xf>
    <xf numFmtId="176" fontId="21" fillId="6" borderId="1" xfId="0" applyFont="1" applyFill="1" applyBorder="1" applyAlignment="1">
      <alignment horizontal="left" vertical="center" wrapText="1"/>
    </xf>
    <xf numFmtId="0" fontId="0" fillId="7" borderId="1" xfId="0" applyNumberFormat="1" applyFill="1" applyBorder="1" applyAlignment="1">
      <alignment vertical="center"/>
    </xf>
    <xf numFmtId="0" fontId="0" fillId="8" borderId="0" xfId="0" applyNumberFormat="1" applyFill="1" applyAlignment="1">
      <alignment vertical="center"/>
    </xf>
    <xf numFmtId="0" fontId="0" fillId="0" borderId="1" xfId="2" applyNumberFormat="1" applyFont="1" applyFill="1" applyBorder="1" applyAlignment="1">
      <alignment horizontal="left" vertical="top" wrapText="1"/>
    </xf>
    <xf numFmtId="176" fontId="25" fillId="0" borderId="1" xfId="0" applyFont="1" applyFill="1" applyBorder="1" applyAlignment="1">
      <alignment horizontal="left" vertical="center" wrapText="1"/>
    </xf>
    <xf numFmtId="176" fontId="25" fillId="6" borderId="1" xfId="0" applyFont="1" applyFill="1" applyBorder="1" applyAlignment="1">
      <alignment horizontal="left" vertical="center" wrapText="1"/>
    </xf>
    <xf numFmtId="176" fontId="21" fillId="0" borderId="1" xfId="0" applyFont="1" applyFill="1" applyBorder="1" applyAlignment="1">
      <alignment vertical="center" wrapText="1"/>
    </xf>
    <xf numFmtId="0" fontId="27" fillId="0" borderId="10" xfId="49" applyFont="1" applyBorder="1" applyAlignment="1">
      <alignment horizontal="left" wrapText="1"/>
    </xf>
    <xf numFmtId="0" fontId="31" fillId="2" borderId="1" xfId="0" applyNumberFormat="1" applyFont="1" applyFill="1" applyBorder="1" applyAlignment="1">
      <alignment horizontal="center" vertical="center"/>
    </xf>
    <xf numFmtId="0" fontId="27" fillId="0" borderId="1" xfId="0" applyNumberFormat="1" applyFont="1" applyBorder="1" applyAlignment="1">
      <alignment horizontal="center" vertical="center"/>
    </xf>
    <xf numFmtId="0" fontId="13" fillId="2" borderId="2" xfId="0" applyNumberFormat="1" applyFont="1" applyFill="1" applyBorder="1" applyAlignment="1">
      <alignment horizontal="center" wrapText="1"/>
    </xf>
    <xf numFmtId="0" fontId="13" fillId="2" borderId="1" xfId="0" applyNumberFormat="1" applyFont="1" applyFill="1" applyBorder="1" applyAlignment="1">
      <alignment horizontal="center" wrapText="1"/>
    </xf>
    <xf numFmtId="0" fontId="13" fillId="2" borderId="2" xfId="0" applyNumberFormat="1" applyFont="1" applyFill="1" applyBorder="1" applyAlignment="1">
      <alignment horizontal="center"/>
    </xf>
    <xf numFmtId="0" fontId="13" fillId="2" borderId="1" xfId="0" applyNumberFormat="1" applyFont="1" applyFill="1" applyBorder="1" applyAlignment="1">
      <alignment horizontal="center"/>
    </xf>
    <xf numFmtId="49" fontId="0" fillId="0" borderId="0" xfId="0" applyNumberFormat="1"/>
    <xf numFmtId="176" fontId="0" fillId="0" borderId="0" xfId="0" applyAlignment="1"/>
    <xf numFmtId="0" fontId="1" fillId="0" borderId="1" xfId="2" applyNumberFormat="1" applyFont="1" applyFill="1" applyBorder="1" applyAlignment="1">
      <alignment horizontal="left" vertical="top"/>
    </xf>
    <xf numFmtId="0" fontId="15" fillId="0" borderId="1" xfId="0" applyNumberFormat="1" applyFont="1" applyFill="1" applyBorder="1" applyAlignment="1">
      <alignment horizontal="left"/>
    </xf>
    <xf numFmtId="0" fontId="11" fillId="0" borderId="1" xfId="2" applyNumberFormat="1" applyFont="1" applyFill="1" applyBorder="1" applyAlignment="1">
      <alignment horizontal="center"/>
    </xf>
    <xf numFmtId="0" fontId="0" fillId="0" borderId="1" xfId="2" applyNumberFormat="1" applyFont="1" applyFill="1" applyBorder="1" applyAlignment="1">
      <alignment horizontal="left"/>
    </xf>
    <xf numFmtId="0" fontId="20" fillId="0" borderId="9" xfId="0" applyNumberFormat="1" applyFont="1" applyFill="1" applyBorder="1" applyAlignment="1">
      <alignment horizontal="left"/>
    </xf>
    <xf numFmtId="0" fontId="27" fillId="0" borderId="1" xfId="49" applyFont="1" applyBorder="1" applyAlignment="1">
      <alignment horizontal="left"/>
    </xf>
    <xf numFmtId="0" fontId="13" fillId="9" borderId="2" xfId="0" applyNumberFormat="1" applyFont="1" applyFill="1" applyBorder="1" applyAlignment="1">
      <alignment horizontal="center"/>
    </xf>
    <xf numFmtId="0" fontId="13" fillId="9" borderId="1" xfId="0" applyNumberFormat="1" applyFont="1" applyFill="1" applyBorder="1" applyAlignment="1">
      <alignment horizontal="center"/>
    </xf>
    <xf numFmtId="49" fontId="0" fillId="9" borderId="11" xfId="0" applyNumberFormat="1" applyFill="1" applyBorder="1" applyAlignment="1"/>
    <xf numFmtId="49" fontId="0" fillId="9" borderId="13" xfId="0" applyNumberFormat="1" applyFill="1" applyBorder="1" applyAlignment="1"/>
    <xf numFmtId="49" fontId="0" fillId="9" borderId="15" xfId="0" applyNumberFormat="1" applyFill="1" applyBorder="1" applyAlignment="1"/>
    <xf numFmtId="49" fontId="0" fillId="9" borderId="12" xfId="0" applyNumberFormat="1" applyFill="1" applyBorder="1" applyAlignment="1"/>
    <xf numFmtId="49" fontId="0" fillId="9" borderId="14" xfId="0" applyNumberFormat="1" applyFill="1" applyBorder="1" applyAlignment="1"/>
    <xf numFmtId="49" fontId="0" fillId="9" borderId="16" xfId="0" applyNumberFormat="1" applyFill="1" applyBorder="1" applyAlignment="1"/>
    <xf numFmtId="176" fontId="21" fillId="0" borderId="5" xfId="0" applyFont="1" applyFill="1" applyBorder="1" applyAlignment="1">
      <alignment horizontal="left" vertical="center" wrapText="1"/>
    </xf>
    <xf numFmtId="176" fontId="21" fillId="0" borderId="6" xfId="0" applyFont="1" applyFill="1" applyBorder="1" applyAlignment="1">
      <alignment horizontal="left" vertical="center" wrapText="1"/>
    </xf>
    <xf numFmtId="176" fontId="21" fillId="0" borderId="4" xfId="0" applyFont="1" applyFill="1" applyBorder="1" applyAlignment="1">
      <alignment horizontal="left" vertical="center" wrapText="1"/>
    </xf>
    <xf numFmtId="176" fontId="21" fillId="0" borderId="1" xfId="0" applyFont="1" applyFill="1" applyBorder="1" applyAlignment="1">
      <alignment horizontal="center" vertical="top" wrapText="1"/>
    </xf>
    <xf numFmtId="176" fontId="21" fillId="0" borderId="5" xfId="0" applyFont="1" applyFill="1" applyBorder="1" applyAlignment="1">
      <alignment vertical="center" wrapText="1"/>
    </xf>
    <xf numFmtId="176" fontId="21" fillId="0" borderId="6" xfId="0" applyFont="1" applyFill="1" applyBorder="1" applyAlignment="1">
      <alignment vertical="center" wrapText="1"/>
    </xf>
    <xf numFmtId="176" fontId="21" fillId="0" borderId="4" xfId="0" applyFont="1" applyFill="1" applyBorder="1" applyAlignment="1">
      <alignment vertical="center" wrapText="1"/>
    </xf>
    <xf numFmtId="0" fontId="13" fillId="2" borderId="2" xfId="0" applyNumberFormat="1" applyFont="1" applyFill="1" applyBorder="1" applyAlignment="1">
      <alignment horizontal="center" wrapText="1"/>
    </xf>
    <xf numFmtId="0" fontId="13" fillId="2" borderId="1" xfId="0" applyNumberFormat="1" applyFont="1" applyFill="1" applyBorder="1" applyAlignment="1">
      <alignment horizontal="center" wrapText="1"/>
    </xf>
    <xf numFmtId="0" fontId="13" fillId="2" borderId="2" xfId="0" applyNumberFormat="1" applyFont="1" applyFill="1" applyBorder="1" applyAlignment="1">
      <alignment horizontal="center"/>
    </xf>
    <xf numFmtId="0" fontId="13" fillId="2" borderId="1" xfId="0" applyNumberFormat="1" applyFont="1" applyFill="1" applyBorder="1" applyAlignment="1">
      <alignment horizontal="center"/>
    </xf>
    <xf numFmtId="0" fontId="20" fillId="3" borderId="7" xfId="0" applyNumberFormat="1" applyFont="1" applyFill="1" applyBorder="1" applyAlignment="1">
      <alignment horizontal="left" wrapText="1"/>
    </xf>
    <xf numFmtId="0" fontId="15" fillId="3" borderId="8" xfId="0" applyNumberFormat="1" applyFont="1" applyFill="1" applyBorder="1" applyAlignment="1">
      <alignment horizontal="left" wrapText="1"/>
    </xf>
    <xf numFmtId="0" fontId="15" fillId="3" borderId="9" xfId="0" applyNumberFormat="1" applyFont="1" applyFill="1" applyBorder="1" applyAlignment="1">
      <alignment horizontal="left" wrapText="1"/>
    </xf>
    <xf numFmtId="0" fontId="20" fillId="0" borderId="7" xfId="0" applyNumberFormat="1" applyFont="1" applyFill="1" applyBorder="1" applyAlignment="1">
      <alignment horizontal="left" wrapText="1"/>
    </xf>
    <xf numFmtId="0" fontId="15" fillId="0" borderId="8" xfId="0" applyNumberFormat="1" applyFont="1" applyFill="1" applyBorder="1" applyAlignment="1">
      <alignment horizontal="left" wrapText="1"/>
    </xf>
    <xf numFmtId="0" fontId="15" fillId="0" borderId="9" xfId="0" applyNumberFormat="1" applyFont="1" applyFill="1" applyBorder="1" applyAlignment="1">
      <alignment horizontal="left" wrapText="1"/>
    </xf>
    <xf numFmtId="0" fontId="30" fillId="0" borderId="3" xfId="0" applyNumberFormat="1" applyFont="1" applyBorder="1" applyAlignment="1">
      <alignment horizontal="center" vertical="center"/>
    </xf>
    <xf numFmtId="0" fontId="27" fillId="0" borderId="5" xfId="0" applyNumberFormat="1" applyFont="1" applyBorder="1" applyAlignment="1">
      <alignment horizontal="center" vertical="center"/>
    </xf>
    <xf numFmtId="0" fontId="27" fillId="0" borderId="6" xfId="0" applyNumberFormat="1" applyFont="1" applyBorder="1" applyAlignment="1">
      <alignment horizontal="center" vertical="center"/>
    </xf>
    <xf numFmtId="0" fontId="27" fillId="0" borderId="4" xfId="0" applyNumberFormat="1" applyFont="1" applyBorder="1" applyAlignment="1">
      <alignment horizontal="center" vertical="center"/>
    </xf>
    <xf numFmtId="0" fontId="0" fillId="0" borderId="5" xfId="0" applyNumberFormat="1" applyBorder="1" applyAlignment="1">
      <alignment horizontal="center" vertical="center"/>
    </xf>
    <xf numFmtId="0" fontId="0" fillId="0" borderId="6" xfId="0" applyNumberFormat="1" applyBorder="1" applyAlignment="1">
      <alignment horizontal="center" vertical="center"/>
    </xf>
    <xf numFmtId="0" fontId="0" fillId="0" borderId="4" xfId="0" applyNumberFormat="1" applyBorder="1" applyAlignment="1">
      <alignment horizontal="center" vertical="center"/>
    </xf>
    <xf numFmtId="176" fontId="21" fillId="0" borderId="1" xfId="0" applyFont="1" applyFill="1" applyBorder="1" applyAlignment="1">
      <alignment horizontal="center" vertical="top" wrapText="1"/>
    </xf>
    <xf numFmtId="176" fontId="21" fillId="0" borderId="1" xfId="0" applyFont="1" applyFill="1" applyBorder="1" applyAlignment="1">
      <alignment horizontal="center" vertical="center" wrapText="1"/>
    </xf>
    <xf numFmtId="176" fontId="21" fillId="5" borderId="1" xfId="0" applyFont="1" applyFill="1" applyBorder="1" applyAlignment="1">
      <alignment horizontal="center" vertical="center" wrapText="1"/>
    </xf>
    <xf numFmtId="176" fontId="21" fillId="0" borderId="5" xfId="0" applyFont="1" applyFill="1" applyBorder="1" applyAlignment="1">
      <alignment horizontal="left" vertical="center" wrapText="1"/>
    </xf>
    <xf numFmtId="176" fontId="21" fillId="0" borderId="6" xfId="0" applyFont="1" applyFill="1" applyBorder="1" applyAlignment="1">
      <alignment horizontal="left" vertical="center" wrapText="1"/>
    </xf>
    <xf numFmtId="176" fontId="21" fillId="0" borderId="4" xfId="0" applyFont="1" applyFill="1" applyBorder="1" applyAlignment="1">
      <alignment horizontal="left" vertical="center" wrapText="1"/>
    </xf>
    <xf numFmtId="176" fontId="21" fillId="0" borderId="5" xfId="0" applyFont="1" applyFill="1" applyBorder="1" applyAlignment="1">
      <alignment vertical="center" wrapText="1"/>
    </xf>
    <xf numFmtId="176" fontId="21" fillId="0" borderId="6" xfId="0" applyFont="1" applyFill="1" applyBorder="1" applyAlignment="1">
      <alignment vertical="center" wrapText="1"/>
    </xf>
    <xf numFmtId="176" fontId="21" fillId="0" borderId="4" xfId="0" applyFont="1" applyFill="1" applyBorder="1" applyAlignment="1">
      <alignment vertical="center" wrapText="1"/>
    </xf>
    <xf numFmtId="176" fontId="21" fillId="0" borderId="0" xfId="0" applyFont="1" applyFill="1" applyBorder="1" applyAlignment="1">
      <alignment horizontal="center" vertical="top" wrapText="1"/>
    </xf>
    <xf numFmtId="176" fontId="21" fillId="0" borderId="0" xfId="0" applyFont="1" applyFill="1" applyBorder="1" applyAlignment="1">
      <alignment horizontal="center" vertical="center" wrapText="1"/>
    </xf>
    <xf numFmtId="176" fontId="21" fillId="0" borderId="0" xfId="0" applyFont="1" applyFill="1" applyBorder="1" applyAlignment="1">
      <alignment horizontal="left" vertical="center" wrapText="1"/>
    </xf>
    <xf numFmtId="176" fontId="36" fillId="0" borderId="1" xfId="0" applyFont="1" applyFill="1" applyBorder="1" applyAlignment="1">
      <alignment horizontal="left" vertical="center" wrapText="1"/>
    </xf>
    <xf numFmtId="176" fontId="36" fillId="0" borderId="4" xfId="0" applyFont="1" applyFill="1" applyBorder="1" applyAlignment="1">
      <alignment horizontal="left" vertical="center" wrapText="1"/>
    </xf>
    <xf numFmtId="176" fontId="36" fillId="0" borderId="5" xfId="0" applyFont="1" applyFill="1" applyBorder="1" applyAlignment="1">
      <alignment vertical="center" wrapText="1"/>
    </xf>
    <xf numFmtId="176" fontId="36" fillId="0" borderId="6" xfId="0" applyFont="1" applyFill="1" applyBorder="1" applyAlignment="1">
      <alignment vertical="center" wrapText="1"/>
    </xf>
    <xf numFmtId="176" fontId="37" fillId="6" borderId="1" xfId="0" applyFont="1" applyFill="1" applyBorder="1" applyAlignment="1">
      <alignment horizontal="left" vertical="center" wrapText="1"/>
    </xf>
    <xf numFmtId="176" fontId="36" fillId="0" borderId="5" xfId="0" applyFont="1" applyFill="1" applyBorder="1" applyAlignment="1">
      <alignment horizontal="left" vertical="center" wrapText="1"/>
    </xf>
    <xf numFmtId="176" fontId="36" fillId="0" borderId="6" xfId="0" applyFont="1" applyFill="1" applyBorder="1" applyAlignment="1">
      <alignment horizontal="left" vertical="center" wrapText="1"/>
    </xf>
    <xf numFmtId="176" fontId="36" fillId="0" borderId="9" xfId="0" applyFont="1" applyFill="1" applyBorder="1" applyAlignment="1">
      <alignment horizontal="left" vertical="center" wrapText="1"/>
    </xf>
    <xf numFmtId="176" fontId="36" fillId="0" borderId="17" xfId="0" applyFont="1" applyFill="1" applyBorder="1" applyAlignment="1">
      <alignment horizontal="left" vertical="center" wrapText="1"/>
    </xf>
    <xf numFmtId="176" fontId="37" fillId="6" borderId="0" xfId="0" applyFont="1" applyFill="1" applyBorder="1" applyAlignment="1">
      <alignment horizontal="left" vertical="center" wrapText="1"/>
    </xf>
    <xf numFmtId="176" fontId="36" fillId="0" borderId="19" xfId="0" applyFont="1" applyFill="1" applyBorder="1" applyAlignment="1">
      <alignment horizontal="left" vertical="center" wrapText="1"/>
    </xf>
    <xf numFmtId="176" fontId="36" fillId="0" borderId="20" xfId="0" applyFont="1" applyFill="1" applyBorder="1" applyAlignment="1">
      <alignment horizontal="left" vertical="center" wrapText="1"/>
    </xf>
    <xf numFmtId="176" fontId="36" fillId="0" borderId="3" xfId="0" applyFont="1" applyFill="1" applyBorder="1" applyAlignment="1">
      <alignment horizontal="left" vertical="center" wrapText="1"/>
    </xf>
    <xf numFmtId="176" fontId="36" fillId="0" borderId="20" xfId="0" applyFont="1" applyFill="1" applyBorder="1" applyAlignment="1">
      <alignment vertical="center" wrapText="1"/>
    </xf>
    <xf numFmtId="176" fontId="37" fillId="6" borderId="5" xfId="0" applyFont="1" applyFill="1" applyBorder="1" applyAlignment="1">
      <alignment horizontal="left" vertical="center" wrapText="1"/>
    </xf>
    <xf numFmtId="176" fontId="36" fillId="6" borderId="6" xfId="0" applyFont="1" applyFill="1" applyBorder="1" applyAlignment="1">
      <alignment vertical="center" wrapText="1"/>
    </xf>
    <xf numFmtId="0" fontId="37" fillId="6" borderId="5" xfId="0" applyNumberFormat="1" applyFont="1" applyFill="1" applyBorder="1" applyAlignment="1">
      <alignment horizontal="left" vertical="center" wrapText="1"/>
    </xf>
    <xf numFmtId="176" fontId="36" fillId="6" borderId="4" xfId="0" applyFont="1" applyFill="1" applyBorder="1" applyAlignment="1">
      <alignment vertical="center" wrapText="1"/>
    </xf>
    <xf numFmtId="176" fontId="21" fillId="6" borderId="4" xfId="0" applyFont="1" applyFill="1" applyBorder="1" applyAlignment="1">
      <alignment vertical="center" wrapText="1"/>
    </xf>
    <xf numFmtId="0" fontId="20" fillId="0" borderId="21" xfId="0" applyNumberFormat="1" applyFont="1" applyFill="1" applyBorder="1" applyAlignment="1">
      <alignment horizontal="left"/>
    </xf>
    <xf numFmtId="176" fontId="21" fillId="10" borderId="5" xfId="0" applyFont="1" applyFill="1" applyBorder="1" applyAlignment="1">
      <alignment horizontal="center" vertical="top" wrapText="1"/>
    </xf>
    <xf numFmtId="176" fontId="21" fillId="10" borderId="6" xfId="0" applyFont="1" applyFill="1" applyBorder="1" applyAlignment="1">
      <alignment horizontal="center" vertical="top" wrapText="1"/>
    </xf>
    <xf numFmtId="176" fontId="21" fillId="10" borderId="4" xfId="0" applyFont="1" applyFill="1" applyBorder="1" applyAlignment="1">
      <alignment horizontal="center" vertical="top" wrapText="1"/>
    </xf>
    <xf numFmtId="176" fontId="21" fillId="0" borderId="4" xfId="0" applyFont="1" applyFill="1" applyBorder="1" applyAlignment="1">
      <alignment horizontal="center" vertical="top" wrapText="1"/>
    </xf>
    <xf numFmtId="176" fontId="21" fillId="11" borderId="5" xfId="0" applyFont="1" applyFill="1" applyBorder="1" applyAlignment="1">
      <alignment horizontal="center" vertical="top" wrapText="1"/>
    </xf>
    <xf numFmtId="176" fontId="21" fillId="11" borderId="6" xfId="0" applyFont="1" applyFill="1" applyBorder="1" applyAlignment="1">
      <alignment horizontal="center" vertical="top" wrapText="1"/>
    </xf>
    <xf numFmtId="176" fontId="21" fillId="11" borderId="4" xfId="0" applyFont="1" applyFill="1" applyBorder="1" applyAlignment="1">
      <alignment horizontal="center" vertical="top" wrapText="1"/>
    </xf>
    <xf numFmtId="176" fontId="21" fillId="0" borderId="5" xfId="0" applyFont="1" applyFill="1" applyBorder="1" applyAlignment="1">
      <alignment horizontal="center" vertical="top" wrapText="1"/>
    </xf>
    <xf numFmtId="176" fontId="21" fillId="10" borderId="18" xfId="0" applyFont="1" applyFill="1" applyBorder="1" applyAlignment="1">
      <alignment horizontal="center" vertical="top" wrapText="1"/>
    </xf>
    <xf numFmtId="176" fontId="21" fillId="0" borderId="9" xfId="0" applyFont="1" applyFill="1" applyBorder="1" applyAlignment="1">
      <alignment horizontal="left" vertical="center" wrapText="1"/>
    </xf>
    <xf numFmtId="176" fontId="25" fillId="0" borderId="9" xfId="0" applyFont="1" applyFill="1" applyBorder="1" applyAlignment="1">
      <alignment horizontal="left" vertical="center" wrapText="1"/>
    </xf>
    <xf numFmtId="176" fontId="21" fillId="0" borderId="6" xfId="0" applyFont="1" applyFill="1" applyBorder="1" applyAlignment="1">
      <alignment horizontal="center" vertical="top" wrapText="1"/>
    </xf>
    <xf numFmtId="176" fontId="21" fillId="5" borderId="5" xfId="0" applyFont="1" applyFill="1" applyBorder="1" applyAlignment="1">
      <alignment horizontal="center" vertical="center" wrapText="1"/>
    </xf>
    <xf numFmtId="176" fontId="21" fillId="5" borderId="6" xfId="0" applyFont="1" applyFill="1" applyBorder="1" applyAlignment="1">
      <alignment horizontal="center" vertical="center" wrapText="1"/>
    </xf>
    <xf numFmtId="176" fontId="21" fillId="5" borderId="4" xfId="0" applyFont="1" applyFill="1" applyBorder="1" applyAlignment="1">
      <alignment horizontal="center" vertical="center" wrapText="1"/>
    </xf>
    <xf numFmtId="176" fontId="21" fillId="5" borderId="5" xfId="0" applyFont="1" applyFill="1" applyBorder="1" applyAlignment="1">
      <alignment horizontal="center" vertical="top" wrapText="1"/>
    </xf>
    <xf numFmtId="176" fontId="21" fillId="5" borderId="6" xfId="0" applyFont="1" applyFill="1" applyBorder="1" applyAlignment="1">
      <alignment horizontal="center" vertical="top" wrapText="1"/>
    </xf>
    <xf numFmtId="176" fontId="21" fillId="5" borderId="4" xfId="0" applyFont="1" applyFill="1" applyBorder="1" applyAlignment="1">
      <alignment horizontal="center" vertical="top" wrapText="1"/>
    </xf>
  </cellXfs>
  <cellStyles count="50">
    <cellStyle name="Normal" xfId="0" builtinId="0"/>
    <cellStyle name="Normal 18 11" xfId="46" xr:uid="{00000000-0005-0000-0000-000001000000}"/>
    <cellStyle name="Normal 2" xfId="49" xr:uid="{00000000-0005-0000-0000-000002000000}"/>
    <cellStyle name="Normal 5" xfId="39" xr:uid="{00000000-0005-0000-0000-000003000000}"/>
    <cellStyle name="Standard 2" xfId="5" xr:uid="{00000000-0005-0000-0000-000004000000}"/>
    <cellStyle name="Standard 2 2" xfId="15" xr:uid="{00000000-0005-0000-0000-000005000000}"/>
    <cellStyle name="Standard 2 2 2" xfId="35" xr:uid="{00000000-0005-0000-0000-000006000000}"/>
    <cellStyle name="Standard 2 3" xfId="32" xr:uid="{00000000-0005-0000-0000-000007000000}"/>
    <cellStyle name="Standard_tmp_CandisMatrix_1" xfId="2" xr:uid="{00000000-0005-0000-0000-000008000000}"/>
    <cellStyle name="標準_AW_Support_Enhanced_Diagnostic_Service_for_CMC" xfId="37" xr:uid="{00000000-0005-0000-0000-000031000000}"/>
    <cellStyle name="常规 10" xfId="23" xr:uid="{00000000-0005-0000-0000-00000A000000}"/>
    <cellStyle name="常规 11" xfId="10" xr:uid="{00000000-0005-0000-0000-00000B000000}"/>
    <cellStyle name="常规 11 2" xfId="20" xr:uid="{00000000-0005-0000-0000-00000C000000}"/>
    <cellStyle name="常规 12" xfId="29" xr:uid="{00000000-0005-0000-0000-00000D000000}"/>
    <cellStyle name="常规 13" xfId="24" xr:uid="{00000000-0005-0000-0000-00000E000000}"/>
    <cellStyle name="常规 13 2" xfId="27" xr:uid="{00000000-0005-0000-0000-00000F000000}"/>
    <cellStyle name="常规 14" xfId="28" xr:uid="{00000000-0005-0000-0000-000010000000}"/>
    <cellStyle name="常规 15" xfId="31" xr:uid="{00000000-0005-0000-0000-000011000000}"/>
    <cellStyle name="常规 16" xfId="44" xr:uid="{00000000-0005-0000-0000-000012000000}"/>
    <cellStyle name="常规 17" xfId="45" xr:uid="{00000000-0005-0000-0000-000013000000}"/>
    <cellStyle name="常规 18" xfId="48" xr:uid="{00000000-0005-0000-0000-000014000000}"/>
    <cellStyle name="常规 19" xfId="26" xr:uid="{00000000-0005-0000-0000-000015000000}"/>
    <cellStyle name="常规 2" xfId="3" xr:uid="{00000000-0005-0000-0000-000016000000}"/>
    <cellStyle name="常规 2 2" xfId="13" xr:uid="{00000000-0005-0000-0000-000017000000}"/>
    <cellStyle name="常规 2 3" xfId="33" xr:uid="{00000000-0005-0000-0000-000018000000}"/>
    <cellStyle name="常规 21" xfId="47" xr:uid="{00000000-0005-0000-0000-000019000000}"/>
    <cellStyle name="常规 23" xfId="43" xr:uid="{00000000-0005-0000-0000-00001A000000}"/>
    <cellStyle name="常规 24" xfId="25" xr:uid="{00000000-0005-0000-0000-00001B000000}"/>
    <cellStyle name="常规 24 2" xfId="30" xr:uid="{00000000-0005-0000-0000-00001C000000}"/>
    <cellStyle name="常规 3" xfId="1" xr:uid="{00000000-0005-0000-0000-00001D000000}"/>
    <cellStyle name="常规 3 2" xfId="8" xr:uid="{00000000-0005-0000-0000-00001E000000}"/>
    <cellStyle name="常规 3 2 2" xfId="18" xr:uid="{00000000-0005-0000-0000-00001F000000}"/>
    <cellStyle name="常规 3 2 3" xfId="40" xr:uid="{00000000-0005-0000-0000-000020000000}"/>
    <cellStyle name="常规 3 3" xfId="12" xr:uid="{00000000-0005-0000-0000-000021000000}"/>
    <cellStyle name="常规 3 4" xfId="34" xr:uid="{00000000-0005-0000-0000-000022000000}"/>
    <cellStyle name="常规 39" xfId="21" xr:uid="{00000000-0005-0000-0000-000023000000}"/>
    <cellStyle name="常规 4" xfId="4" xr:uid="{00000000-0005-0000-0000-000024000000}"/>
    <cellStyle name="常规 4 2" xfId="14" xr:uid="{00000000-0005-0000-0000-000025000000}"/>
    <cellStyle name="常规 4 3" xfId="38" xr:uid="{00000000-0005-0000-0000-000026000000}"/>
    <cellStyle name="常规 5" xfId="6" xr:uid="{00000000-0005-0000-0000-000027000000}"/>
    <cellStyle name="常规 5 2" xfId="16" xr:uid="{00000000-0005-0000-0000-000028000000}"/>
    <cellStyle name="常规 5 3" xfId="41" xr:uid="{00000000-0005-0000-0000-000029000000}"/>
    <cellStyle name="常规 6" xfId="7" xr:uid="{00000000-0005-0000-0000-00002A000000}"/>
    <cellStyle name="常规 6 2" xfId="17" xr:uid="{00000000-0005-0000-0000-00002B000000}"/>
    <cellStyle name="常规 6 3" xfId="42" xr:uid="{00000000-0005-0000-0000-00002C000000}"/>
    <cellStyle name="常规 7" xfId="9" xr:uid="{00000000-0005-0000-0000-00002D000000}"/>
    <cellStyle name="常规 7 2" xfId="19" xr:uid="{00000000-0005-0000-0000-00002E000000}"/>
    <cellStyle name="常规 8" xfId="11" xr:uid="{00000000-0005-0000-0000-00002F000000}"/>
    <cellStyle name="常规 9" xfId="22" xr:uid="{00000000-0005-0000-0000-000030000000}"/>
    <cellStyle name="一般_AW_Support_DTC_for_HAITEC" xfId="36" xr:uid="{00000000-0005-0000-0000-000009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revisionHeaders" Target="revisions/revisionHeader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usernames" Target="revisions/userNames1.xml"/></Relationships>
</file>

<file path=xl/revisions/_rels/revisionHeaders.xml.rels><?xml version="1.0" encoding="UTF-8" standalone="yes"?>
<Relationships xmlns="http://schemas.openxmlformats.org/package/2006/relationships"><Relationship Id="rId13" Type="http://schemas.openxmlformats.org/officeDocument/2006/relationships/revisionLog" Target="revisionLog3.xml"/><Relationship Id="rId12" Type="http://schemas.openxmlformats.org/officeDocument/2006/relationships/revisionLog" Target="revisionLog2.xml"/><Relationship Id="rId16" Type="http://schemas.openxmlformats.org/officeDocument/2006/relationships/revisionLog" Target="revisionLog6.xml"/><Relationship Id="rId11" Type="http://schemas.openxmlformats.org/officeDocument/2006/relationships/revisionLog" Target="revisionLog1.xml"/><Relationship Id="rId15" Type="http://schemas.openxmlformats.org/officeDocument/2006/relationships/revisionLog" Target="revisionLog5.xml"/><Relationship Id="rId10" Type="http://schemas.openxmlformats.org/officeDocument/2006/relationships/revisionLog" Target="revisionLog10.xml"/><Relationship Id="rId14" Type="http://schemas.openxmlformats.org/officeDocument/2006/relationships/revisionLog" Target="revisionLog4.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995F9870-7451-44F1-AD00-B9EBC6EF4973}" diskRevisions="1" revisionId="481" version="3" protected="1">
  <header guid="{E1D7C21E-7499-4689-926D-133355339DF8}" dateTime="2020-09-29T17:10:17" maxSheetId="6" userName="Yin, Joss (X.)" r:id="rId10" minRId="293" maxRId="294">
    <sheetIdMap count="5">
      <sheetId val="1"/>
      <sheetId val="5"/>
      <sheetId val="2"/>
      <sheetId val="3"/>
      <sheetId val="4"/>
    </sheetIdMap>
  </header>
  <header guid="{4E7BD9CE-06F1-4630-9D36-2717CB187F8D}" dateTime="2020-10-15T17:19:20" maxSheetId="6" userName="Yin, Joss (X.)" r:id="rId11" minRId="295">
    <sheetIdMap count="5">
      <sheetId val="1"/>
      <sheetId val="5"/>
      <sheetId val="2"/>
      <sheetId val="3"/>
      <sheetId val="4"/>
    </sheetIdMap>
  </header>
  <header guid="{EC51AC96-03D0-4A18-9095-E6380F1F6A7B}" dateTime="2020-10-16T16:48:58" maxSheetId="6" userName="Yin, Joss (X.)" r:id="rId12">
    <sheetIdMap count="5">
      <sheetId val="1"/>
      <sheetId val="5"/>
      <sheetId val="2"/>
      <sheetId val="3"/>
      <sheetId val="4"/>
    </sheetIdMap>
  </header>
  <header guid="{0CEF4D1D-6F86-424E-A95B-BA956CFCF841}" dateTime="2020-10-23T14:51:13" maxSheetId="6" userName="Yin, Joss (X.)" r:id="rId13" minRId="300" maxRId="321">
    <sheetIdMap count="5">
      <sheetId val="1"/>
      <sheetId val="5"/>
      <sheetId val="2"/>
      <sheetId val="3"/>
      <sheetId val="4"/>
    </sheetIdMap>
  </header>
  <header guid="{84218A0F-CC09-45A9-9378-EDF797E8BF2E}" dateTime="2020-10-23T15:32:09" maxSheetId="7" userName="Yin, Joss (X.)" r:id="rId14" minRId="326" maxRId="457">
    <sheetIdMap count="6">
      <sheetId val="1"/>
      <sheetId val="2"/>
      <sheetId val="3"/>
      <sheetId val="4"/>
      <sheetId val="6"/>
      <sheetId val="5"/>
    </sheetIdMap>
  </header>
  <header guid="{60F9CE49-BC62-4EF0-97FD-CBD707909376}" dateTime="2020-10-23T15:32:53" maxSheetId="7" userName="Yin, Joss (X.)" r:id="rId15" minRId="463">
    <sheetIdMap count="6">
      <sheetId val="1"/>
      <sheetId val="2"/>
      <sheetId val="3"/>
      <sheetId val="4"/>
      <sheetId val="6"/>
      <sheetId val="5"/>
    </sheetIdMap>
  </header>
  <header guid="{995F9870-7451-44F1-AD00-B9EBC6EF4973}" dateTime="2020-10-23T15:46:19" maxSheetId="7" userName="Yin, Joss (X.)" r:id="rId16" minRId="464" maxRId="481">
    <sheetIdMap count="6">
      <sheetId val="1"/>
      <sheetId val="2"/>
      <sheetId val="3"/>
      <sheetId val="4"/>
      <sheetId val="6"/>
      <sheetId val="5"/>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5" sId="1">
    <oc r="W14" t="inlineStr">
      <is>
        <r>
          <rPr>
            <sz val="10"/>
            <color rgb="FF0070C0"/>
            <rFont val="Arial"/>
            <family val="2"/>
          </rPr>
          <t>0x00: init</t>
        </r>
        <r>
          <rPr>
            <sz val="10"/>
            <rFont val="Arial"/>
            <family val="2"/>
          </rPr>
          <t xml:space="preserve">
0x01:10%
0x02:20%
0x03:30%
0x04:40%
0x05:50%
0x06:60%
0x07:70%
0x08:80%
0x09:90%
0x0a:Fully open
0x0b: Fully close
0x0c: tilt up
0x0d: Vent area
0x0e: Uninitialized
</t>
        </r>
        <r>
          <rPr>
            <b/>
            <sz val="10"/>
            <color rgb="FF0070C0"/>
            <rFont val="Arial"/>
            <family val="2"/>
          </rPr>
          <t>0xf: comfort</t>
        </r>
      </is>
    </oc>
    <nc r="W14" t="inlineStr">
      <is>
        <r>
          <rPr>
            <sz val="10"/>
            <color rgb="FF0070C0"/>
            <rFont val="Arial"/>
            <family val="2"/>
          </rPr>
          <t>0x00: init</t>
        </r>
        <r>
          <rPr>
            <sz val="10"/>
            <rFont val="Arial"/>
            <family val="2"/>
          </rPr>
          <t xml:space="preserve">
0x01:10%
0x02:20%
0x03:30%
0x04:40%
0x05:50%
0x06:60%
0x07:70%
0x08:80%
0x09:90%
0x0a:Fully open
0x0b: Fully close
0x0c: tilt up
0x0d: Vent area
0x0e: Uninitialized
</t>
        </r>
        <r>
          <rPr>
            <b/>
            <sz val="10"/>
            <color rgb="FF0070C0"/>
            <rFont val="Arial"/>
            <family val="2"/>
          </rPr>
          <t>0xf: comfort</t>
        </r>
        <phoneticPr fontId="3" type="noConversion"/>
      </is>
    </nc>
  </rcc>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28585A0-5D39-432E-81ED-6A20A7471F73}" action="delete"/>
  <rdn rId="0" localSheetId="1" customView="1" name="Z_D28585A0_5D39_432E_81ED_6A20A7471F73_.wvu.PrintArea" hidden="1" oldHidden="1">
    <formula>'DureOS-LIN'!$A$2:$AN$233</formula>
    <oldFormula>'DureOS-LIN'!$A$2:$AN$233</oldFormula>
  </rdn>
  <rdn rId="0" localSheetId="1" customView="1" name="Z_D28585A0_5D39_432E_81ED_6A20A7471F73_.wvu.Cols" hidden="1" oldHidden="1">
    <formula>'DureOS-LIN'!$I:$V</formula>
    <oldFormula>'DureOS-LIN'!$I:$V</oldFormula>
  </rdn>
  <rdn rId="0" localSheetId="1" customView="1" name="Z_D28585A0_5D39_432E_81ED_6A20A7471F73_.wvu.FilterData" hidden="1" oldHidden="1">
    <formula>'DureOS-LIN'!$A$2:$HK$304</formula>
    <oldFormula>'DureOS-LIN'!$A$2:$HK$304</oldFormula>
  </rdn>
  <rdn rId="0" localSheetId="4" customView="1" name="Z_D28585A0_5D39_432E_81ED_6A20A7471F73_.wvu.Cols" hidden="1" oldHidden="1">
    <formula>'语音-LIN_map'!$F:$G</formula>
    <oldFormula>'语音-LIN_map'!$F:$G</oldFormula>
  </rdn>
  <rcv guid="{D28585A0-5D39-432E-81ED-6A20A7471F73}"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0" sId="4">
    <oc r="K1" t="inlineStr">
      <is>
        <t>LIN_Message_4D</t>
        <phoneticPr fontId="0" type="noConversion"/>
      </is>
    </oc>
    <nc r="K1" t="inlineStr">
      <is>
        <t>LIN_Message_A1GAB</t>
        <phoneticPr fontId="0" type="noConversion"/>
      </is>
    </nc>
  </rcc>
  <rcc rId="301" sId="4">
    <oc r="L1" t="inlineStr">
      <is>
        <t>LIN_value_4D</t>
        <phoneticPr fontId="0" type="noConversion"/>
      </is>
    </oc>
    <nc r="L1" t="inlineStr">
      <is>
        <t>LIN_value_A1GAB</t>
        <phoneticPr fontId="0" type="noConversion"/>
      </is>
    </nc>
  </rcc>
  <rcc rId="302" sId="4">
    <oc r="I1" t="inlineStr">
      <is>
        <t>LIN_Message_5D</t>
        <phoneticPr fontId="0" type="noConversion"/>
      </is>
    </oc>
    <nc r="I1" t="inlineStr">
      <is>
        <t>LIN_Message_A1GAP/CHAAC</t>
        <phoneticPr fontId="0" type="noConversion"/>
      </is>
    </nc>
  </rcc>
  <rcc rId="303" sId="4">
    <oc r="J1" t="inlineStr">
      <is>
        <t>LIN_value_5D</t>
        <phoneticPr fontId="0" type="noConversion"/>
      </is>
    </oc>
    <nc r="J1" t="inlineStr">
      <is>
        <t>LIN_value_A1GAP/CHAAC</t>
        <phoneticPr fontId="0" type="noConversion"/>
      </is>
    </nc>
  </rcc>
  <rfmt sheetId="4" sqref="M1" start="0" length="0">
    <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dxf>
  </rfmt>
  <rfmt sheetId="4" sqref="N1" start="0" length="0">
    <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border>
    </dxf>
  </rfmt>
  <rfmt sheetId="4" sqref="M1:N1" start="0" length="0">
    <dxf>
      <border>
        <top style="thin">
          <color indexed="64"/>
        </top>
      </border>
    </dxf>
  </rfmt>
  <rfmt sheetId="4" sqref="M1:N1" start="0" length="0">
    <dxf>
      <border>
        <bottom style="thin">
          <color indexed="64"/>
        </bottom>
      </border>
    </dxf>
  </rfmt>
  <rfmt sheetId="4" sqref="M1:N1">
    <dxf>
      <border>
        <top style="thin">
          <color indexed="64"/>
        </top>
        <bottom style="thin">
          <color indexed="64"/>
        </bottom>
        <horizontal style="thin">
          <color indexed="64"/>
        </horizontal>
      </border>
    </dxf>
  </rfmt>
  <rcc rId="304" sId="4">
    <nc r="M1" t="inlineStr">
      <is>
        <t>LIN_Message_CHABB</t>
        <phoneticPr fontId="0" type="noConversion"/>
      </is>
    </nc>
  </rcc>
  <rcc rId="305" sId="4">
    <nc r="N1" t="inlineStr">
      <is>
        <t>LIN_value_CHABB</t>
        <phoneticPr fontId="0" type="noConversion"/>
      </is>
    </nc>
  </rcc>
  <rfmt sheetId="4" sqref="M2"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4" sqref="N2"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4" sqref="M3"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4" sqref="N3"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4" sqref="M4"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dxf>
  </rfmt>
  <rfmt sheetId="4" sqref="N4"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dxf>
  </rfmt>
  <rfmt sheetId="4" sqref="M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4" sqref="N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4" sqref="M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4" sqref="N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4" sqref="M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4" sqref="N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4" sqref="M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4" sqref="N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4" sqref="M9"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dxf>
  </rfmt>
  <rfmt sheetId="4" sqref="N9"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dxf>
  </rfmt>
  <rfmt sheetId="4" sqref="M10"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4" sqref="N10"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4" sqref="M11"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4" sqref="N11"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4" sqref="M12"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4" sqref="N12"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4" sqref="M13"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dxf>
  </rfmt>
  <rfmt sheetId="4" sqref="N13"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dxf>
  </rfmt>
  <rfmt sheetId="4" sqref="M14"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4" sqref="N14"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4" sqref="M1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4" sqref="N1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4" sqref="M1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4" sqref="N1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4" sqref="M1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4" sqref="N1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4" sqref="M1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4" sqref="N1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4" sqref="M4" start="0" length="0">
    <dxf>
      <border outline="0">
        <bottom style="thin">
          <color indexed="64"/>
        </bottom>
      </border>
    </dxf>
  </rfmt>
  <rfmt sheetId="4" sqref="N4" start="0" length="0">
    <dxf>
      <border outline="0">
        <bottom style="thin">
          <color indexed="64"/>
        </bottom>
      </border>
    </dxf>
  </rfmt>
  <rfmt sheetId="4" sqref="M9" start="0" length="0">
    <dxf>
      <border outline="0">
        <bottom style="thin">
          <color indexed="64"/>
        </bottom>
      </border>
    </dxf>
  </rfmt>
  <rfmt sheetId="4" sqref="N9" start="0" length="0">
    <dxf>
      <border outline="0">
        <bottom style="thin">
          <color indexed="64"/>
        </bottom>
      </border>
    </dxf>
  </rfmt>
  <rcc rId="306" sId="4">
    <nc r="N2" t="inlineStr">
      <is>
        <t>n/a</t>
        <phoneticPr fontId="0" type="noConversion"/>
      </is>
    </nc>
  </rcc>
  <rcc rId="307" sId="4">
    <nc r="N3" t="inlineStr">
      <is>
        <t>n/a</t>
        <phoneticPr fontId="0" type="noConversion"/>
      </is>
    </nc>
  </rcc>
  <rcc rId="308" sId="4">
    <nc r="M2" t="inlineStr">
      <is>
        <t>APIM_sunroof_control；
APIM_sunshsade_control</t>
        <phoneticPr fontId="0" type="noConversion"/>
      </is>
    </nc>
  </rcc>
  <rcc rId="309" sId="4">
    <nc r="M3" t="inlineStr">
      <is>
        <t>APIM_sunroof_control;
APIM_sunshsade_control</t>
        <phoneticPr fontId="0" type="noConversion"/>
      </is>
    </nc>
  </rcc>
  <rcc rId="310" sId="4" odxf="1" dxf="1">
    <nc r="M4" t="inlineStr">
      <is>
        <t>APIM_sunroof_control;
APIM_sunshsade_control</t>
        <phoneticPr fontId="0" type="noConversion"/>
      </is>
    </nc>
    <ndxf>
      <border outline="0">
        <bottom/>
      </border>
    </ndxf>
  </rcc>
  <rcc rId="311" sId="4" odxf="1" dxf="1">
    <nc r="N4" t="inlineStr">
      <is>
        <t>n/a</t>
        <phoneticPr fontId="0" type="noConversion"/>
      </is>
    </nc>
    <ndxf>
      <border outline="0">
        <bottom/>
      </border>
    </ndxf>
  </rcc>
  <rcc rId="312" sId="4">
    <nc r="M8" t="inlineStr">
      <is>
        <t>APIM_sunroof_control;
APIM_sunshsade_control</t>
        <phoneticPr fontId="0" type="noConversion"/>
      </is>
    </nc>
  </rcc>
  <rcc rId="313" sId="4" odxf="1" dxf="1">
    <nc r="M9" t="inlineStr">
      <is>
        <t>APIM_sunroof_control;
APIM_sunshsade_control</t>
        <phoneticPr fontId="0" type="noConversion"/>
      </is>
    </nc>
    <ndxf>
      <border outline="0">
        <bottom/>
      </border>
    </ndxf>
  </rcc>
  <rcc rId="314" sId="4">
    <nc r="N8" t="inlineStr">
      <is>
        <t>n/a</t>
        <phoneticPr fontId="0" type="noConversion"/>
      </is>
    </nc>
  </rcc>
  <rcc rId="315" sId="4">
    <nc r="N9" t="inlineStr">
      <is>
        <t>n/a</t>
        <phoneticPr fontId="0" type="noConversion"/>
      </is>
    </nc>
  </rcc>
  <rcc rId="316" sId="4">
    <nc r="M12" t="inlineStr">
      <is>
        <t>APIM_sunroof_control;
APIM_sunshsade_control</t>
        <phoneticPr fontId="0" type="noConversion"/>
      </is>
    </nc>
  </rcc>
  <rcc rId="317" sId="4">
    <nc r="N12" t="inlineStr">
      <is>
        <t>0x00;
0x0a;</t>
        <phoneticPr fontId="0" type="noConversion"/>
      </is>
    </nc>
  </rcc>
  <rcc rId="318" sId="4">
    <nc r="M13" t="inlineStr">
      <is>
        <t>APIM_sunroof_control;
APIM_sunshsade_control</t>
        <phoneticPr fontId="0" type="noConversion"/>
      </is>
    </nc>
  </rcc>
  <rcc rId="319" sId="4">
    <nc r="N13" t="inlineStr">
      <is>
        <t>0x00;
0x0c;</t>
        <phoneticPr fontId="0" type="noConversion"/>
      </is>
    </nc>
  </rcc>
  <rcc rId="320" sId="4">
    <nc r="M18" t="inlineStr">
      <is>
        <t>APIM_sunroof_control;
APIM_sunshsade_control</t>
        <phoneticPr fontId="0" type="noConversion"/>
      </is>
    </nc>
  </rcc>
  <rcc rId="321" sId="4">
    <nc r="N18" t="inlineStr">
      <is>
        <t>0x00;
0x0b;</t>
        <phoneticPr fontId="0" type="noConversion"/>
      </is>
    </nc>
  </rcc>
  <rcv guid="{D28585A0-5D39-432E-81ED-6A20A7471F73}" action="delete"/>
  <rdn rId="0" localSheetId="1" customView="1" name="Z_D28585A0_5D39_432E_81ED_6A20A7471F73_.wvu.PrintArea" hidden="1" oldHidden="1">
    <formula>'DureOS-LIN'!$A$2:$AN$233</formula>
    <oldFormula>'DureOS-LIN'!$A$2:$AN$233</oldFormula>
  </rdn>
  <rdn rId="0" localSheetId="1" customView="1" name="Z_D28585A0_5D39_432E_81ED_6A20A7471F73_.wvu.Cols" hidden="1" oldHidden="1">
    <formula>'DureOS-LIN'!$I:$V</formula>
    <oldFormula>'DureOS-LIN'!$I:$V</oldFormula>
  </rdn>
  <rdn rId="0" localSheetId="1" customView="1" name="Z_D28585A0_5D39_432E_81ED_6A20A7471F73_.wvu.FilterData" hidden="1" oldHidden="1">
    <formula>'DureOS-LIN'!$A$2:$HK$304</formula>
    <oldFormula>'DureOS-LIN'!$A$2:$HK$304</oldFormula>
  </rdn>
  <rdn rId="0" localSheetId="4" customView="1" name="Z_D28585A0_5D39_432E_81ED_6A20A7471F73_.wvu.Cols" hidden="1" oldHidden="1">
    <formula>'语音-LIN_map'!$F:$G</formula>
    <oldFormula>'语音-LIN_map'!$F:$G</oldFormula>
  </rdn>
  <rcv guid="{D28585A0-5D39-432E-81ED-6A20A7471F73}"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26" sId="4" ref="A19:XFD19" action="insertRow">
    <undo index="65535" exp="area" ref3D="1" dr="$F$1:$G$1048576" dn="Z_566BD698_1192_4E29_A1DB_0EA15F9BC81B_.wvu.Cols" sId="4"/>
    <undo index="65535" exp="area" ref3D="1" dr="$F$1:$G$1048576" dn="Z_D28585A0_5D39_432E_81ED_6A20A7471F73_.wvu.Cols" sId="4"/>
  </rrc>
  <ris rId="327" sheetId="6" name="[LIN _Matrix_CISM_v0.11_20200713.xlsm]Sheet1" sheetPosition="4"/>
  <rcc rId="328" sId="6" odxf="1" dxf="1">
    <nc r="A1" t="inlineStr">
      <is>
        <t>二级功能</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329" sId="6" odxf="1" dxf="1">
    <nc r="B1" t="inlineStr">
      <is>
        <t>控制范围</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330" sId="6" odxf="1" dxf="1">
    <nc r="C1" t="inlineStr">
      <is>
        <t>指令基线</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331" sId="6" odxf="1" dxf="1">
    <nc r="D1" t="inlineStr">
      <is>
        <t>TTS反馈</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332" sId="6" odxf="1" dxf="1">
    <nc r="E1" t="inlineStr">
      <is>
        <t>百度指令</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333" sId="6" odxf="1" dxf="1">
    <nc r="F1" t="inlineStr">
      <is>
        <t>泛化指令</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334" sId="6" odxf="1" dxf="1">
    <nc r="G1" t="inlineStr">
      <is>
        <t>前端反应</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335" sId="6" odxf="1" dxf="1">
    <nc r="H1" t="inlineStr">
      <is>
        <t>TTS反馈</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336" sId="6" odxf="1" dxf="1">
    <nc r="I1" t="inlineStr">
      <is>
        <t>LIN_Message_A1GAP/CHAAC</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337" sId="6" odxf="1" dxf="1">
    <nc r="J1" t="inlineStr">
      <is>
        <t>LIN_value_A1GAP/CHAAC</t>
        <phoneticPr fontId="0" type="noConversion"/>
      </is>
    </nc>
    <odxf>
      <font>
        <b val="0"/>
        <sz val="10"/>
        <color auto="1"/>
        <name val="Arial"/>
        <family val="2"/>
        <scheme val="none"/>
      </font>
      <fill>
        <patternFill patternType="none">
          <bgColor indexed="65"/>
        </patternFill>
      </fill>
      <alignment horizontal="general" vertical="bottom" wrapText="0"/>
      <border outline="0">
        <left/>
        <right/>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border>
    </ndxf>
  </rcc>
  <rcc rId="338" sId="6" odxf="1" dxf="1">
    <nc r="K1" t="inlineStr">
      <is>
        <t>LIN_Message_A1GAB</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339" sId="6" odxf="1" dxf="1">
    <nc r="L1" t="inlineStr">
      <is>
        <t>LIN_value_A1GAB</t>
        <phoneticPr fontId="0" type="noConversion"/>
      </is>
    </nc>
    <odxf>
      <font>
        <b val="0"/>
        <sz val="10"/>
        <color auto="1"/>
        <name val="Arial"/>
        <family val="2"/>
        <scheme val="none"/>
      </font>
      <fill>
        <patternFill patternType="none">
          <bgColor indexed="65"/>
        </patternFill>
      </fill>
      <alignment horizontal="general" vertical="bottom" wrapText="0"/>
      <border outline="0">
        <left/>
        <right/>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border>
    </ndxf>
  </rcc>
  <rcc rId="340" sId="6" odxf="1" dxf="1">
    <nc r="M1" t="inlineStr">
      <is>
        <t>LIN_Message_CHABB</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341" sId="6" odxf="1" dxf="1">
    <nc r="N1" t="inlineStr">
      <is>
        <t>LIN_value_CHABB</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342" sId="6" odxf="1" dxf="1">
    <nc r="A2" t="inlineStr">
      <is>
        <t>天窗</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ndxf>
  </rcc>
  <rcc rId="343" sId="6" odxf="1" dxf="1">
    <nc r="B2" t="inlineStr">
      <is>
        <t>天窗全开</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ndxf>
  </rcc>
  <rcc rId="344" sId="6" odxf="1" dxf="1">
    <nc r="C2" t="inlineStr">
      <is>
        <t>全开天窗</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45" sId="6" odxf="1" dxf="1">
    <nc r="D2" t="inlineStr">
      <is>
        <t xml:space="preserve">天窗已全开
</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346" sId="6" odxf="1" dxf="1">
    <nc r="E2" t="inlineStr">
      <is>
        <t>天窗全开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2"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2"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347" sId="6" odxf="1" dxf="1">
    <nc r="H2" t="inlineStr">
      <is>
        <t>天窗已全开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48" sId="6" odxf="1" dxf="1">
    <nc r="I2" t="inlineStr">
      <is>
        <t>APIM_sunroof_control；
APIM_sunshsade_control</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49" sId="6" odxf="1" dxf="1">
    <nc r="J2" t="inlineStr">
      <is>
        <t>0x0a;
0x00</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50" sId="6" odxf="1" dxf="1">
    <nc r="K2" t="inlineStr">
      <is>
        <t>APIM_sunroof_control；
APIM_sunshsade_control</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51" sId="6" odxf="1" dxf="1">
    <nc r="L2" t="inlineStr">
      <is>
        <t>0x0a;
0x00</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52" sId="6" odxf="1" dxf="1">
    <nc r="M2" t="inlineStr">
      <is>
        <t>APIM_sunroof_control；
APIM_sunshsade_control</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53" sId="6" odxf="1" dxf="1">
    <nc r="N2" t="inlineStr">
      <is>
        <t>n/a</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A3"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B3"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cc rId="354" sId="6" odxf="1" dxf="1">
    <nc r="C3" t="inlineStr">
      <is>
        <t>我想看星星</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D3" start="0" length="0">
    <dxf>
      <font>
        <sz val="10"/>
        <color rgb="FF7030A0"/>
        <name val="微软雅黑"/>
        <family val="2"/>
        <charset val="134"/>
        <scheme val="none"/>
      </font>
      <alignment horizontal="left" vertical="center" wrapText="1"/>
      <border outline="0">
        <left style="thin">
          <color indexed="64"/>
        </left>
        <right style="thin">
          <color indexed="64"/>
        </right>
      </border>
    </dxf>
  </rfmt>
  <rcc rId="355" sId="6" odxf="1" dxf="1">
    <nc r="E3" t="inlineStr">
      <is>
        <t>我想看月亮/看夜空</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3"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3"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356" sId="6" odxf="1" dxf="1">
    <nc r="H3" t="inlineStr">
      <is>
        <t>好的，你可以抬头了</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57" sId="6" odxf="1" dxf="1">
    <nc r="I3" t="inlineStr">
      <is>
        <t>APIM_sunroof_control;
APIM_sunshsade_control</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58" sId="6" odxf="1" dxf="1">
    <nc r="J3" t="inlineStr">
      <is>
        <t>0x0a;
0x00</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59" sId="6" odxf="1" dxf="1">
    <nc r="K3" t="inlineStr">
      <is>
        <t>APIM_sunroof_control;
APIM_sunshsade_control</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60" sId="6" odxf="1" dxf="1">
    <nc r="L3" t="inlineStr">
      <is>
        <t>0x0a;
0x00</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61" sId="6" odxf="1" dxf="1">
    <nc r="M3" t="inlineStr">
      <is>
        <t>APIM_sunroof_control;
APIM_sunshsade_control</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62" sId="6" odxf="1" dxf="1">
    <nc r="N3" t="inlineStr">
      <is>
        <t>n/a</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A4"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cc rId="363" sId="6" odxf="1" dxf="1">
    <nc r="B4" t="inlineStr">
      <is>
        <t>天窗舒适</t>
        <phoneticPr fontId="0" type="noConversion"/>
      </is>
    </nc>
    <odxf>
      <font>
        <sz val="10"/>
        <color auto="1"/>
        <name val="Arial"/>
        <family val="2"/>
        <scheme val="none"/>
      </font>
      <fill>
        <patternFill patternType="none">
          <bgColor indexed="65"/>
        </patternFill>
      </fill>
      <alignment horizontal="general" vertical="bottom" wrapText="0"/>
      <border outline="0">
        <left/>
        <right/>
        <top/>
        <bottom/>
      </border>
    </odxf>
    <ndxf>
      <font>
        <sz val="10"/>
        <color rgb="FF7030A0"/>
        <name val="微软雅黑"/>
        <family val="2"/>
        <charset val="134"/>
        <scheme val="none"/>
      </font>
      <fill>
        <patternFill patternType="solid">
          <bgColor theme="4" tint="0.59999389629810485"/>
        </patternFill>
      </fill>
      <alignment horizontal="center" vertical="center" wrapText="1"/>
      <border outline="0">
        <left style="thin">
          <color indexed="64"/>
        </left>
        <right style="thin">
          <color indexed="64"/>
        </right>
        <top style="thin">
          <color indexed="64"/>
        </top>
        <bottom style="thin">
          <color indexed="64"/>
        </bottom>
      </border>
    </ndxf>
  </rcc>
  <rcc rId="364" sId="6" odxf="1" dxf="1">
    <nc r="C4" t="inlineStr">
      <is>
        <t>打开天窗（注意该指令对应天窗半开）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65" sId="6" odxf="1" dxf="1">
    <nc r="D4" t="inlineStr">
      <is>
        <t>天窗已打开</t>
        <phoneticPr fontId="0" type="noConversion"/>
      </is>
    </nc>
    <odxf>
      <font>
        <sz val="10"/>
        <color auto="1"/>
        <name val="Arial"/>
        <family val="2"/>
        <scheme val="none"/>
      </font>
      <alignment vertical="bottom" wrapText="0"/>
      <border outline="0">
        <left/>
        <right/>
        <top/>
        <bottom/>
      </border>
    </odxf>
    <ndxf>
      <font>
        <sz val="10"/>
        <color rgb="FF7030A0"/>
        <name val="微软雅黑"/>
        <family val="2"/>
        <charset val="134"/>
        <scheme val="none"/>
      </font>
      <alignment vertical="center" wrapText="1"/>
      <border outline="0">
        <left style="thin">
          <color indexed="64"/>
        </left>
        <right style="thin">
          <color indexed="64"/>
        </right>
        <top style="thin">
          <color indexed="64"/>
        </top>
        <bottom style="thin">
          <color indexed="64"/>
        </bottom>
      </border>
    </ndxf>
  </rcc>
  <rcc rId="366" sId="6" odxf="1" dxf="1">
    <nc r="E4" t="inlineStr">
      <is>
        <t>打开天窗</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4"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4"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367" sId="6" odxf="1" dxf="1">
    <nc r="H4" t="inlineStr">
      <is>
        <t>天窗已打开</t>
        <phoneticPr fontId="0" type="noConversion"/>
      </is>
    </nc>
    <odxf>
      <font>
        <sz val="10"/>
        <color auto="1"/>
        <name val="Arial"/>
        <family val="2"/>
        <scheme val="none"/>
      </font>
      <alignment vertical="bottom" wrapText="0"/>
      <border outline="0">
        <left/>
        <right/>
        <top/>
        <bottom/>
      </border>
    </odxf>
    <ndxf>
      <font>
        <sz val="10"/>
        <color rgb="FF7030A0"/>
        <name val="微软雅黑"/>
        <family val="2"/>
        <charset val="134"/>
        <scheme val="none"/>
      </font>
      <alignment vertical="center" wrapText="1"/>
      <border outline="0">
        <left style="thin">
          <color indexed="64"/>
        </left>
        <right style="thin">
          <color indexed="64"/>
        </right>
        <top style="thin">
          <color indexed="64"/>
        </top>
        <bottom style="thin">
          <color indexed="64"/>
        </bottom>
      </border>
    </ndxf>
  </rcc>
  <rcc rId="368" sId="6" odxf="1" dxf="1">
    <nc r="I4" t="inlineStr">
      <is>
        <t>APIM_sunroof_control;
APIM_sunshsade_control</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369" sId="6" odxf="1" dxf="1">
    <nc r="J4" t="inlineStr">
      <is>
        <t>0x0d;
0x00</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370" sId="6" odxf="1" dxf="1">
    <nc r="K4" t="inlineStr">
      <is>
        <t>APIM_sunroof_control;
APIM_sunshsade_control</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371" sId="6" odxf="1" dxf="1">
    <nc r="L4" t="inlineStr">
      <is>
        <t>0x05;
0x00</t>
        <phoneticPr fontId="0" type="noConversion"/>
      </is>
    </nc>
    <odxf>
      <font>
        <sz val="10"/>
        <color auto="1"/>
        <name val="Arial"/>
        <family val="2"/>
        <scheme val="none"/>
      </font>
      <alignment vertical="bottom" wrapText="0"/>
      <border outline="0">
        <left/>
        <right/>
        <top/>
      </border>
    </odxf>
    <ndxf>
      <font>
        <sz val="10"/>
        <color rgb="FF7030A0"/>
        <name val="微软雅黑"/>
        <family val="2"/>
        <charset val="134"/>
        <scheme val="none"/>
      </font>
      <alignment vertical="center" wrapText="1"/>
      <border outline="0">
        <left style="thin">
          <color indexed="64"/>
        </left>
        <right style="thin">
          <color indexed="64"/>
        </right>
        <top style="thin">
          <color indexed="64"/>
        </top>
      </border>
    </ndxf>
  </rcc>
  <rcc rId="372" sId="6" odxf="1" dxf="1">
    <nc r="M4" t="inlineStr">
      <is>
        <t>APIM_sunroof_control;
APIM_sunshsade_control</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373" sId="6" odxf="1" dxf="1">
    <nc r="N4" t="inlineStr">
      <is>
        <t>n/a</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fmt sheetId="6" sqref="A5"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B5" start="0" length="0">
    <dxf>
      <font>
        <sz val="10"/>
        <color rgb="FF7030A0"/>
        <name val="微软雅黑"/>
        <family val="2"/>
        <charset val="134"/>
        <scheme val="none"/>
      </font>
      <fill>
        <patternFill patternType="solid">
          <bgColor theme="4" tint="0.59999389629810485"/>
        </patternFill>
      </fill>
      <alignment horizontal="center" vertical="center" wrapText="1"/>
      <border outline="0">
        <left style="thin">
          <color indexed="64"/>
        </left>
        <right style="thin">
          <color indexed="64"/>
        </right>
        <top style="thin">
          <color indexed="64"/>
        </top>
        <bottom style="thin">
          <color indexed="64"/>
        </bottom>
      </border>
    </dxf>
  </rfmt>
  <rcc rId="374" sId="6" odxf="1" dxf="1">
    <nc r="C5" t="inlineStr">
      <is>
        <t>天窗半开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75" sId="6" odxf="1" dxf="1">
    <nc r="D5" t="inlineStr">
      <is>
        <t>天窗已打开</t>
        <phoneticPr fontId="0" type="noConversion"/>
      </is>
    </nc>
    <odxf>
      <font>
        <sz val="10"/>
        <color auto="1"/>
        <name val="Arial"/>
        <family val="2"/>
        <scheme val="none"/>
      </font>
      <alignment vertical="bottom" wrapText="0"/>
      <border outline="0">
        <left/>
        <right/>
        <top/>
        <bottom/>
      </border>
    </odxf>
    <ndxf>
      <font>
        <sz val="10"/>
        <color rgb="FF7030A0"/>
        <name val="微软雅黑"/>
        <family val="2"/>
        <charset val="134"/>
        <scheme val="none"/>
      </font>
      <alignment vertical="center" wrapText="1"/>
      <border outline="0">
        <left style="thin">
          <color indexed="64"/>
        </left>
        <right style="thin">
          <color indexed="64"/>
        </right>
        <top style="thin">
          <color indexed="64"/>
        </top>
        <bottom style="thin">
          <color indexed="64"/>
        </bottom>
      </border>
    </ndxf>
  </rcc>
  <rcc rId="376" sId="6" odxf="1" dxf="1">
    <nc r="E5" t="inlineStr">
      <is>
        <t>天窗半开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5"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5"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377" sId="6" odxf="1" dxf="1">
    <nc r="H5" t="inlineStr">
      <is>
        <t>天窗已打开</t>
        <phoneticPr fontId="0" type="noConversion"/>
      </is>
    </nc>
    <odxf>
      <font>
        <sz val="10"/>
        <color auto="1"/>
        <name val="Arial"/>
        <family val="2"/>
        <scheme val="none"/>
      </font>
      <alignment vertical="bottom" wrapText="0"/>
      <border outline="0">
        <left/>
        <right/>
        <top/>
        <bottom/>
      </border>
    </odxf>
    <ndxf>
      <font>
        <sz val="10"/>
        <color rgb="FF7030A0"/>
        <name val="微软雅黑"/>
        <family val="2"/>
        <charset val="134"/>
        <scheme val="none"/>
      </font>
      <alignment vertical="center" wrapText="1"/>
      <border outline="0">
        <left style="thin">
          <color indexed="64"/>
        </left>
        <right style="thin">
          <color indexed="64"/>
        </right>
        <top style="thin">
          <color indexed="64"/>
        </top>
        <bottom style="thin">
          <color indexed="64"/>
        </bottom>
      </border>
    </ndxf>
  </rcc>
  <rfmt sheetId="6" sqref="I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J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K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L5" start="0" length="0">
    <dxf>
      <font>
        <sz val="10"/>
        <color rgb="FF7030A0"/>
        <name val="微软雅黑"/>
        <family val="2"/>
        <charset val="134"/>
        <scheme val="none"/>
      </font>
      <alignment vertical="center" wrapText="1"/>
      <border outline="0">
        <left style="thin">
          <color indexed="64"/>
        </left>
        <right style="thin">
          <color indexed="64"/>
        </right>
      </border>
    </dxf>
  </rfmt>
  <rfmt sheetId="6" sqref="M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N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A6"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B6" start="0" length="0">
    <dxf>
      <font>
        <sz val="10"/>
        <color rgb="FF7030A0"/>
        <name val="微软雅黑"/>
        <family val="2"/>
        <charset val="134"/>
        <scheme val="none"/>
      </font>
      <fill>
        <patternFill patternType="solid">
          <bgColor theme="4" tint="0.59999389629810485"/>
        </patternFill>
      </fill>
      <alignment horizontal="center" vertical="center" wrapText="1"/>
      <border outline="0">
        <left style="thin">
          <color indexed="64"/>
        </left>
        <right style="thin">
          <color indexed="64"/>
        </right>
        <top style="thin">
          <color indexed="64"/>
        </top>
        <bottom style="thin">
          <color indexed="64"/>
        </bottom>
      </border>
    </dxf>
  </rfmt>
  <rcc rId="378" sId="6" odxf="1" dxf="1">
    <nc r="C6" t="inlineStr">
      <is>
        <t>开一点天窗</t>
      </is>
    </nc>
    <odxf>
      <font>
        <strike val="0"/>
        <sz val="10"/>
        <color auto="1"/>
        <name val="Arial"/>
        <family val="2"/>
        <scheme val="none"/>
      </font>
      <alignment horizontal="general" vertical="bottom" wrapText="0"/>
      <border outline="0">
        <left/>
        <right/>
        <top/>
        <bottom/>
      </border>
    </odxf>
    <ndxf>
      <font>
        <strike/>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D6" start="0" length="0">
    <dxf>
      <font>
        <sz val="10"/>
        <color rgb="FF7030A0"/>
        <name val="微软雅黑"/>
        <family val="2"/>
        <charset val="134"/>
        <scheme val="none"/>
      </font>
      <alignment vertical="center" wrapText="1"/>
      <border outline="0">
        <left style="thin">
          <color indexed="64"/>
        </left>
        <right style="thin">
          <color indexed="64"/>
        </right>
        <top style="thin">
          <color indexed="64"/>
        </top>
        <bottom style="thin">
          <color indexed="64"/>
        </bottom>
      </border>
    </dxf>
  </rfmt>
  <rcc rId="379" sId="6" odxf="1" dxf="1">
    <nc r="E6" t="inlineStr">
      <is>
        <t>开一点天窗</t>
      </is>
    </nc>
    <odxf>
      <font>
        <strike val="0"/>
        <sz val="10"/>
        <color auto="1"/>
        <name val="Arial"/>
        <family val="2"/>
        <scheme val="none"/>
      </font>
      <alignment horizontal="general" vertical="bottom" wrapText="0"/>
      <border outline="0">
        <left/>
        <right/>
        <top/>
        <bottom/>
      </border>
    </odxf>
    <ndxf>
      <font>
        <strike/>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6"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6"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H6" start="0" length="0">
    <dxf>
      <font>
        <sz val="10"/>
        <color rgb="FF7030A0"/>
        <name val="微软雅黑"/>
        <family val="2"/>
        <charset val="134"/>
        <scheme val="none"/>
      </font>
      <alignment vertical="center" wrapText="1"/>
      <border outline="0">
        <left style="thin">
          <color indexed="64"/>
        </left>
        <right style="thin">
          <color indexed="64"/>
        </right>
        <top style="thin">
          <color indexed="64"/>
        </top>
        <bottom style="thin">
          <color indexed="64"/>
        </bottom>
      </border>
    </dxf>
  </rfmt>
  <rfmt sheetId="6" sqref="I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J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K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L6" start="0" length="0">
    <dxf>
      <font>
        <sz val="10"/>
        <color rgb="FF7030A0"/>
        <name val="微软雅黑"/>
        <family val="2"/>
        <charset val="134"/>
        <scheme val="none"/>
      </font>
      <alignment vertical="center" wrapText="1"/>
      <border outline="0">
        <left style="thin">
          <color indexed="64"/>
        </left>
        <right style="thin">
          <color indexed="64"/>
        </right>
      </border>
    </dxf>
  </rfmt>
  <rfmt sheetId="6" sqref="M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N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A7"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B7" start="0" length="0">
    <dxf>
      <font>
        <sz val="10"/>
        <color rgb="FF7030A0"/>
        <name val="微软雅黑"/>
        <family val="2"/>
        <charset val="134"/>
        <scheme val="none"/>
      </font>
      <fill>
        <patternFill patternType="solid">
          <bgColor theme="4" tint="0.59999389629810485"/>
        </patternFill>
      </fill>
      <alignment horizontal="center" vertical="center" wrapText="1"/>
      <border outline="0">
        <left style="thin">
          <color indexed="64"/>
        </left>
        <right style="thin">
          <color indexed="64"/>
        </right>
        <top style="thin">
          <color indexed="64"/>
        </top>
        <bottom style="thin">
          <color indexed="64"/>
        </bottom>
      </border>
    </dxf>
  </rfmt>
  <rcc rId="380" sId="6" odxf="1" dxf="1">
    <nc r="C7" t="inlineStr">
      <is>
        <t>关一点天窗</t>
      </is>
    </nc>
    <odxf>
      <font>
        <strike val="0"/>
        <sz val="10"/>
        <color auto="1"/>
        <name val="Arial"/>
        <family val="2"/>
        <scheme val="none"/>
      </font>
      <alignment horizontal="general" vertical="bottom" wrapText="0"/>
      <border outline="0">
        <left/>
        <right/>
        <top/>
        <bottom/>
      </border>
    </odxf>
    <ndxf>
      <font>
        <strike/>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D7" start="0" length="0">
    <dxf>
      <font>
        <sz val="10"/>
        <color rgb="FF7030A0"/>
        <name val="微软雅黑"/>
        <family val="2"/>
        <charset val="134"/>
        <scheme val="none"/>
      </font>
      <alignment vertical="center" wrapText="1"/>
      <border outline="0">
        <left style="thin">
          <color indexed="64"/>
        </left>
        <right style="thin">
          <color indexed="64"/>
        </right>
        <top style="thin">
          <color indexed="64"/>
        </top>
        <bottom style="thin">
          <color indexed="64"/>
        </bottom>
      </border>
    </dxf>
  </rfmt>
  <rcc rId="381" sId="6" odxf="1" dxf="1">
    <nc r="E7" t="inlineStr">
      <is>
        <t>关一点天窗</t>
        <phoneticPr fontId="0" type="noConversion"/>
      </is>
    </nc>
    <odxf>
      <font>
        <strike val="0"/>
        <sz val="10"/>
        <color auto="1"/>
        <name val="Arial"/>
        <family val="2"/>
        <scheme val="none"/>
      </font>
      <alignment horizontal="general" vertical="bottom" wrapText="0"/>
      <border outline="0">
        <left/>
        <right/>
        <top/>
        <bottom/>
      </border>
    </odxf>
    <ndxf>
      <font>
        <strike/>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7"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7"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H7" start="0" length="0">
    <dxf>
      <font>
        <sz val="10"/>
        <color rgb="FF7030A0"/>
        <name val="微软雅黑"/>
        <family val="2"/>
        <charset val="134"/>
        <scheme val="none"/>
      </font>
      <alignment vertical="center" wrapText="1"/>
      <border outline="0">
        <left style="thin">
          <color indexed="64"/>
        </left>
        <right style="thin">
          <color indexed="64"/>
        </right>
        <top style="thin">
          <color indexed="64"/>
        </top>
        <bottom style="thin">
          <color indexed="64"/>
        </bottom>
      </border>
    </dxf>
  </rfmt>
  <rfmt sheetId="6" sqref="I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J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K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L7" start="0" length="0">
    <dxf>
      <font>
        <sz val="10"/>
        <color rgb="FF7030A0"/>
        <name val="微软雅黑"/>
        <family val="2"/>
        <charset val="134"/>
        <scheme val="none"/>
      </font>
      <alignment vertical="center" wrapText="1"/>
      <border outline="0">
        <left style="thin">
          <color indexed="64"/>
        </left>
        <right style="thin">
          <color indexed="64"/>
        </right>
        <bottom style="thin">
          <color indexed="64"/>
        </bottom>
      </border>
    </dxf>
  </rfmt>
  <rfmt sheetId="6" sqref="M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N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A8"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cc rId="382" sId="6" odxf="1" dxf="1">
    <nc r="B8" t="inlineStr">
      <is>
        <t>天窗全关</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ndxf>
  </rcc>
  <rcc rId="383" sId="6" odxf="1" dxf="1">
    <nc r="C8" t="inlineStr">
      <is>
        <t>关闭天窗</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84" sId="6" odxf="1" dxf="1">
    <nc r="D8" t="inlineStr">
      <is>
        <t xml:space="preserve">天窗已关闭
</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385" sId="6" odxf="1" dxf="1">
    <nc r="E8" t="inlineStr">
      <is>
        <t>关上/关掉天窗</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386" sId="6" odxf="1" dxf="1">
    <nc r="H8" t="inlineStr">
      <is>
        <t>天窗已关闭</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87" sId="6" odxf="1" dxf="1">
    <nc r="I8" t="inlineStr">
      <is>
        <t>APIM_sunroof_control;
APIM_sunshsade_control</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88" sId="6" odxf="1" dxf="1">
    <nc r="J8" t="inlineStr">
      <is>
        <t>0x0b;
0x00</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89" sId="6" odxf="1" dxf="1">
    <nc r="K8" t="inlineStr">
      <is>
        <t>APIM_sunroof_control;
APIM_sunshsade_control</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90" sId="6" odxf="1" dxf="1">
    <nc r="L8" t="inlineStr">
      <is>
        <t>0x0b;
0x00</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91" sId="6" odxf="1" dxf="1">
    <nc r="M8" t="inlineStr">
      <is>
        <t>APIM_sunroof_control;
APIM_sunshsade_control</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92" sId="6" odxf="1" dxf="1">
    <nc r="N8" t="inlineStr">
      <is>
        <t>n/a</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A9"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cc rId="393" sId="6" odxf="1" dxf="1">
    <nc r="B9" t="inlineStr">
      <is>
        <t>天窗起翘</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ndxf>
  </rcc>
  <rcc rId="394" sId="6" odxf="1" dxf="1">
    <nc r="C9" t="inlineStr">
      <is>
        <t>天窗起翘</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95" sId="6" odxf="1" dxf="1">
    <nc r="D9" t="inlineStr">
      <is>
        <t xml:space="preserve">天窗已翘起
</t>
        <phoneticPr fontId="0" type="noConversion"/>
      </is>
    </nc>
    <odxf>
      <font>
        <sz val="10"/>
        <color auto="1"/>
        <name val="Arial"/>
        <family val="2"/>
        <scheme val="none"/>
      </font>
      <alignment vertical="bottom" wrapText="0"/>
      <border outline="0">
        <left/>
        <right/>
        <top/>
      </border>
    </odxf>
    <ndxf>
      <font>
        <sz val="10"/>
        <color rgb="FF7030A0"/>
        <name val="微软雅黑"/>
        <family val="2"/>
        <charset val="134"/>
        <scheme val="none"/>
      </font>
      <alignment vertical="center" wrapText="1"/>
      <border outline="0">
        <left style="thin">
          <color indexed="64"/>
        </left>
        <right style="thin">
          <color indexed="64"/>
        </right>
        <top style="thin">
          <color indexed="64"/>
        </top>
      </border>
    </ndxf>
  </rcc>
  <rcc rId="396" sId="6" odxf="1" dxf="1">
    <nc r="E9" t="inlineStr">
      <is>
        <t>天窗起翘</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9"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9"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397" sId="6" odxf="1" dxf="1">
    <nc r="H9" t="inlineStr">
      <is>
        <t>天窗已翘起</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398" sId="6" odxf="1" dxf="1">
    <nc r="I9" t="inlineStr">
      <is>
        <t>APIM_sunroof_control;
APIM_sunshsade_control</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399" sId="6" odxf="1" dxf="1">
    <nc r="J9" t="inlineStr">
      <is>
        <t>0x0c;
0x00</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400" sId="6" odxf="1" dxf="1">
    <nc r="K9" t="inlineStr">
      <is>
        <t>APIM_sunroof_control;
APIM_sunshsade_control</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401" sId="6" odxf="1" dxf="1">
    <nc r="L9" t="inlineStr">
      <is>
        <t>0x0c;
0x00</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402" sId="6" odxf="1" dxf="1">
    <nc r="M9" t="inlineStr">
      <is>
        <t>APIM_sunroof_control;
APIM_sunshsade_control</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403" sId="6" odxf="1" dxf="1">
    <nc r="N9" t="inlineStr">
      <is>
        <t>n/a</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A10"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B10"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cc rId="404" sId="6" odxf="1" dxf="1">
    <nc r="C10" t="inlineStr">
      <is>
        <t>翘起天窗</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D10" start="0" length="0">
    <dxf>
      <font>
        <sz val="10"/>
        <color rgb="FF7030A0"/>
        <name val="微软雅黑"/>
        <family val="2"/>
        <charset val="134"/>
        <scheme val="none"/>
      </font>
      <alignment vertical="center" wrapText="1"/>
      <border outline="0">
        <left style="thin">
          <color indexed="64"/>
        </left>
        <right style="thin">
          <color indexed="64"/>
        </right>
      </border>
    </dxf>
  </rfmt>
  <rcc rId="405" sId="6" odxf="1" dxf="1">
    <nc r="E10" t="inlineStr">
      <is>
        <t>翘起天窗</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10"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10"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406" sId="6" odxf="1" dxf="1">
    <nc r="H10" t="inlineStr">
      <is>
        <t>天窗已翘起</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I10"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J10"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K10"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L10"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M10"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N10"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A11"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B11"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cc rId="407" sId="6" odxf="1" dxf="1">
    <nc r="C11" t="inlineStr">
      <is>
        <t>透点风</t>
        <phoneticPr fontId="0" type="noConversion"/>
      </is>
    </nc>
    <odxf>
      <font>
        <sz val="10"/>
        <color auto="1"/>
        <name val="Arial"/>
        <family val="2"/>
        <scheme val="none"/>
      </font>
      <fill>
        <patternFill patternType="none">
          <bgColor indexed="65"/>
        </patternFill>
      </fill>
      <alignment horizontal="general" vertical="bottom" wrapText="0"/>
      <border outline="0">
        <left/>
        <right/>
        <top/>
        <bottom/>
      </border>
    </odxf>
    <ndxf>
      <font>
        <sz val="10"/>
        <color rgb="FF7030A0"/>
        <name val="微软雅黑"/>
        <family val="2"/>
        <charset val="134"/>
        <scheme val="none"/>
      </font>
      <fill>
        <patternFill patternType="solid">
          <bgColor theme="0" tint="-0.249977111117893"/>
        </patternFill>
      </fill>
      <alignment horizontal="left" vertical="center" wrapText="1"/>
      <border outline="0">
        <left style="thin">
          <color indexed="64"/>
        </left>
        <right style="thin">
          <color indexed="64"/>
        </right>
        <top style="thin">
          <color indexed="64"/>
        </top>
        <bottom style="thin">
          <color indexed="64"/>
        </bottom>
      </border>
    </ndxf>
  </rcc>
  <rfmt sheetId="6" sqref="D11" start="0" length="0">
    <dxf>
      <font>
        <sz val="10"/>
        <color rgb="FF7030A0"/>
        <name val="微软雅黑"/>
        <family val="2"/>
        <charset val="134"/>
        <scheme val="none"/>
      </font>
      <alignment vertical="center" wrapText="1"/>
      <border outline="0">
        <left style="thin">
          <color indexed="64"/>
        </left>
        <right style="thin">
          <color indexed="64"/>
        </right>
        <bottom style="thin">
          <color indexed="64"/>
        </bottom>
      </border>
    </dxf>
  </rfmt>
  <rcc rId="408" sId="6" odxf="1" dxf="1">
    <nc r="E11" t="inlineStr">
      <is>
        <t>透点风/有点闷</t>
        <phoneticPr fontId="0" type="noConversion"/>
      </is>
    </nc>
    <odxf>
      <font>
        <sz val="10"/>
        <color auto="1"/>
        <name val="Arial"/>
        <family val="2"/>
        <scheme val="none"/>
      </font>
      <fill>
        <patternFill patternType="none">
          <bgColor indexed="65"/>
        </patternFill>
      </fill>
      <alignment horizontal="general" vertical="bottom" wrapText="0"/>
      <border outline="0">
        <left/>
        <right/>
        <top/>
        <bottom/>
      </border>
    </odxf>
    <ndxf>
      <font>
        <sz val="10"/>
        <color rgb="FF7030A0"/>
        <name val="微软雅黑"/>
        <family val="2"/>
        <charset val="134"/>
        <scheme val="none"/>
      </font>
      <fill>
        <patternFill patternType="solid">
          <bgColor theme="0" tint="-0.249977111117893"/>
        </patternFill>
      </fill>
      <alignment horizontal="left" vertical="center" wrapText="1"/>
      <border outline="0">
        <left style="thin">
          <color indexed="64"/>
        </left>
        <right style="thin">
          <color indexed="64"/>
        </right>
        <top style="thin">
          <color indexed="64"/>
        </top>
        <bottom style="thin">
          <color indexed="64"/>
        </bottom>
      </border>
    </ndxf>
  </rcc>
  <rfmt sheetId="6" sqref="F11"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11"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409" sId="6" odxf="1" dxf="1">
    <nc r="H11" t="inlineStr">
      <is>
        <t>好的，已为你打开天窗</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I11"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J11"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K11"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L11"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M11"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N11"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cc rId="410" sId="6" odxf="1" dxf="1">
    <nc r="A12" t="inlineStr">
      <is>
        <t>遮阳帘</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ndxf>
  </rcc>
  <rcc rId="411" sId="6" odxf="1" dxf="1">
    <nc r="B12" t="inlineStr">
      <is>
        <t>遮阳帘全开</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ndxf>
  </rcc>
  <rcc rId="412" sId="6" odxf="1" dxf="1">
    <nc r="C12" t="inlineStr">
      <is>
        <t>遮阳帘全开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413" sId="6" odxf="1" dxf="1">
    <nc r="D12" t="inlineStr">
      <is>
        <t xml:space="preserve">遮阳帘已打开
</t>
        <phoneticPr fontId="0" type="noConversion"/>
      </is>
    </nc>
    <odxf>
      <font>
        <sz val="10"/>
        <color auto="1"/>
        <name val="Arial"/>
        <family val="2"/>
        <scheme val="none"/>
      </font>
      <alignment horizontal="general" vertical="bottom" wrapText="0"/>
      <border outline="0">
        <left/>
        <right/>
        <bottom/>
      </border>
    </odxf>
    <n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ndxf>
  </rcc>
  <rcc rId="414" sId="6" odxf="1" dxf="1">
    <nc r="E12" t="inlineStr">
      <is>
        <t>遮阳帘全开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12"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12"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415" sId="6" odxf="1" dxf="1">
    <nc r="H12" t="inlineStr">
      <is>
        <t>遮阳帘已打开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416" sId="6" odxf="1" dxf="1">
    <nc r="I12" t="inlineStr">
      <is>
        <t>APIM_sunroof_control;
APIM_sunshsade_control</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417" sId="6" odxf="1" dxf="1">
    <nc r="J12" t="inlineStr">
      <is>
        <t>0x00;
0x0a;</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418" sId="6" odxf="1" dxf="1">
    <nc r="K12" t="inlineStr">
      <is>
        <t>n/a</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419" sId="6" odxf="1" dxf="1">
    <nc r="L12" t="inlineStr">
      <is>
        <t>n/a</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420" sId="6" odxf="1" dxf="1">
    <nc r="M12" t="inlineStr">
      <is>
        <t>APIM_sunroof_control;
APIM_sunshsade_control</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421" sId="6" odxf="1" dxf="1">
    <nc r="N12" t="inlineStr">
      <is>
        <t>0x00;
0x0a;</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A13"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cc rId="422" sId="6" odxf="1" dxf="1">
    <nc r="B13" t="inlineStr">
      <is>
        <t>遮阳帘半开/半关（舒适）</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ndxf>
  </rcc>
  <rcc rId="423" sId="6" odxf="1" dxf="1">
    <nc r="C13" t="inlineStr">
      <is>
        <t>打开遮阳帘（注意该指令对应遮阳帘半开）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424" sId="6" odxf="1" dxf="1">
    <nc r="D13" t="inlineStr">
      <is>
        <t xml:space="preserve">遮阳帘已半开
</t>
        <phoneticPr fontId="0" type="noConversion"/>
      </is>
    </nc>
    <odxf>
      <font>
        <sz val="10"/>
        <color auto="1"/>
        <name val="Arial"/>
        <family val="2"/>
        <scheme val="none"/>
      </font>
      <alignment vertical="bottom" wrapText="0"/>
      <border outline="0">
        <left/>
        <right/>
        <top/>
      </border>
    </odxf>
    <ndxf>
      <font>
        <sz val="10"/>
        <color rgb="FF7030A0"/>
        <name val="微软雅黑"/>
        <family val="2"/>
        <charset val="134"/>
        <scheme val="none"/>
      </font>
      <alignment vertical="center" wrapText="1"/>
      <border outline="0">
        <left style="thin">
          <color indexed="64"/>
        </left>
        <right style="thin">
          <color indexed="64"/>
        </right>
        <top style="thin">
          <color indexed="64"/>
        </top>
      </border>
    </ndxf>
  </rcc>
  <rcc rId="425" sId="6" odxf="1" dxf="1">
    <nc r="E13" t="inlineStr">
      <is>
        <t>打开遮阳帘</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13"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13"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426" sId="6" odxf="1" dxf="1">
    <nc r="H13" t="inlineStr">
      <is>
        <t>遮阳帘已半开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cc rId="427" sId="6" odxf="1" dxf="1">
    <nc r="I13" t="inlineStr">
      <is>
        <t>APIM_sunroof_control;
APIM_sunshsade_control</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428" sId="6" odxf="1" dxf="1">
    <nc r="J13" t="inlineStr">
      <is>
        <t>0x00;
0x0c;</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429" sId="6" odxf="1" dxf="1">
    <nc r="K13" t="inlineStr">
      <is>
        <t>n/a</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430" sId="6" odxf="1" dxf="1">
    <nc r="L13" t="inlineStr">
      <is>
        <t>n/a</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431" sId="6" odxf="1" dxf="1">
    <nc r="M13" t="inlineStr">
      <is>
        <t>APIM_sunroof_control;
APIM_sunshsade_control</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cc rId="432" sId="6" odxf="1" dxf="1">
    <nc r="N13" t="inlineStr">
      <is>
        <t>0x00;
0x0c;</t>
        <phoneticPr fontId="0" type="noConversion"/>
      </is>
    </nc>
    <odxf>
      <font>
        <sz val="10"/>
        <color auto="1"/>
        <name val="Arial"/>
        <family val="2"/>
        <scheme val="none"/>
      </font>
      <alignment horizontal="general" vertical="bottom" wrapText="0"/>
      <border outline="0">
        <left/>
        <right/>
        <top/>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rder>
    </ndxf>
  </rcc>
  <rfmt sheetId="6" sqref="A14"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B14"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cc rId="433" sId="6" odxf="1" dxf="1">
    <nc r="C14" t="inlineStr">
      <is>
        <t>遮阳帘半开</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D14" start="0" length="0">
    <dxf>
      <font>
        <sz val="10"/>
        <color rgb="FF7030A0"/>
        <name val="微软雅黑"/>
        <family val="2"/>
        <charset val="134"/>
        <scheme val="none"/>
      </font>
      <alignment vertical="center" wrapText="1"/>
      <border outline="0">
        <left style="thin">
          <color indexed="64"/>
        </left>
        <right style="thin">
          <color indexed="64"/>
        </right>
      </border>
    </dxf>
  </rfmt>
  <rcc rId="434" sId="6" odxf="1" dxf="1">
    <nc r="E14" t="inlineStr">
      <is>
        <t>遮阳帘半开</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14"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14"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435" sId="6" odxf="1" dxf="1">
    <nc r="H14" t="inlineStr">
      <is>
        <t>遮阳帘已半开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I14"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J14"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K14"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L14"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M14"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N14"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A15"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B15"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cc rId="436" sId="6" odxf="1" dxf="1">
    <nc r="C15" t="inlineStr">
      <is>
        <t>开一点遮阳帘</t>
        <phoneticPr fontId="0" type="noConversion"/>
      </is>
    </nc>
    <odxf>
      <font>
        <strike val="0"/>
        <sz val="10"/>
        <color auto="1"/>
        <name val="Arial"/>
        <family val="2"/>
        <scheme val="none"/>
      </font>
      <alignment horizontal="general" vertical="bottom" wrapText="0"/>
      <border outline="0">
        <left/>
        <right/>
        <top/>
        <bottom/>
      </border>
    </odxf>
    <ndxf>
      <font>
        <strike/>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D15" start="0" length="0">
    <dxf>
      <font>
        <sz val="10"/>
        <color rgb="FF7030A0"/>
        <name val="微软雅黑"/>
        <family val="2"/>
        <charset val="134"/>
        <scheme val="none"/>
      </font>
      <alignment vertical="center" wrapText="1"/>
      <border outline="0">
        <left style="thin">
          <color indexed="64"/>
        </left>
        <right style="thin">
          <color indexed="64"/>
        </right>
      </border>
    </dxf>
  </rfmt>
  <rcc rId="437" sId="6" odxf="1" dxf="1">
    <nc r="E15" t="inlineStr">
      <is>
        <t>开一点遮阳帘</t>
      </is>
    </nc>
    <odxf>
      <font>
        <strike val="0"/>
        <sz val="10"/>
        <color auto="1"/>
        <name val="Arial"/>
        <family val="2"/>
        <scheme val="none"/>
      </font>
      <alignment horizontal="general" vertical="bottom" wrapText="0"/>
      <border outline="0">
        <left/>
        <right/>
        <top/>
        <bottom/>
      </border>
    </odxf>
    <ndxf>
      <font>
        <strike/>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15"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15"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438" sId="6" odxf="1" dxf="1">
    <nc r="H15" t="inlineStr">
      <is>
        <t>遮阳帘已半开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I1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J1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K1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L1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M1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N15"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A16"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B16"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cc rId="439" sId="6" odxf="1" dxf="1">
    <nc r="C16" t="inlineStr">
      <is>
        <t>关一点遮阳帘</t>
        <phoneticPr fontId="0" type="noConversion"/>
      </is>
    </nc>
    <odxf>
      <font>
        <strike val="0"/>
        <sz val="10"/>
        <color auto="1"/>
        <name val="Arial"/>
        <family val="2"/>
        <scheme val="none"/>
      </font>
      <fill>
        <patternFill patternType="none">
          <bgColor indexed="65"/>
        </patternFill>
      </fill>
      <alignment horizontal="general" vertical="bottom" wrapText="0"/>
      <border outline="0">
        <left/>
        <right/>
        <top/>
        <bottom/>
      </border>
    </odxf>
    <ndxf>
      <font>
        <strike/>
        <sz val="10"/>
        <color rgb="FF7030A0"/>
        <name val="微软雅黑"/>
        <family val="2"/>
        <charset val="134"/>
        <scheme val="none"/>
      </font>
      <fill>
        <patternFill patternType="solid">
          <bgColor theme="0" tint="-0.249977111117893"/>
        </patternFill>
      </fill>
      <alignment horizontal="left" vertical="center" wrapText="1"/>
      <border outline="0">
        <left style="thin">
          <color indexed="64"/>
        </left>
        <right style="thin">
          <color indexed="64"/>
        </right>
        <top style="thin">
          <color indexed="64"/>
        </top>
        <bottom style="thin">
          <color indexed="64"/>
        </bottom>
      </border>
    </ndxf>
  </rcc>
  <rfmt sheetId="6" sqref="D16" start="0" length="0">
    <dxf>
      <font>
        <sz val="10"/>
        <color rgb="FF7030A0"/>
        <name val="微软雅黑"/>
        <family val="2"/>
        <charset val="134"/>
        <scheme val="none"/>
      </font>
      <alignment vertical="center" wrapText="1"/>
      <border outline="0">
        <left style="thin">
          <color indexed="64"/>
        </left>
        <right style="thin">
          <color indexed="64"/>
        </right>
      </border>
    </dxf>
  </rfmt>
  <rcc rId="440" sId="6" odxf="1" dxf="1">
    <nc r="E16" t="inlineStr">
      <is>
        <t>关一点遮阳帘（在全开的时候有效）</t>
        <phoneticPr fontId="0" type="noConversion"/>
      </is>
    </nc>
    <odxf>
      <font>
        <strike val="0"/>
        <sz val="10"/>
        <color auto="1"/>
        <name val="Arial"/>
        <family val="2"/>
        <scheme val="none"/>
      </font>
      <fill>
        <patternFill patternType="none">
          <bgColor indexed="65"/>
        </patternFill>
      </fill>
      <alignment horizontal="general" vertical="bottom" wrapText="0"/>
      <border outline="0">
        <left/>
        <right/>
        <top/>
        <bottom/>
      </border>
    </odxf>
    <ndxf>
      <font>
        <strike/>
        <sz val="10"/>
        <color rgb="FF7030A0"/>
        <name val="微软雅黑"/>
        <family val="2"/>
        <charset val="134"/>
        <scheme val="none"/>
      </font>
      <fill>
        <patternFill patternType="solid">
          <bgColor theme="0" tint="-0.249977111117893"/>
        </patternFill>
      </fill>
      <alignment horizontal="left" vertical="center" wrapText="1"/>
      <border outline="0">
        <left style="thin">
          <color indexed="64"/>
        </left>
        <right style="thin">
          <color indexed="64"/>
        </right>
        <top style="thin">
          <color indexed="64"/>
        </top>
        <bottom style="thin">
          <color indexed="64"/>
        </bottom>
      </border>
    </ndxf>
  </rcc>
  <rfmt sheetId="6" sqref="F16"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16"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cc rId="441" sId="6" odxf="1" dxf="1">
    <nc r="H16" t="inlineStr">
      <is>
        <t>遮阳帘已半开</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I1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J1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K1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L1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M1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N16" start="0" length="0">
    <dxf>
      <font>
        <sz val="10"/>
        <color rgb="FF7030A0"/>
        <name val="微软雅黑"/>
        <family val="2"/>
        <charset val="134"/>
        <scheme val="none"/>
      </font>
      <alignment horizontal="left" vertical="center" wrapText="1"/>
      <border outline="0">
        <left style="thin">
          <color indexed="64"/>
        </left>
        <right style="thin">
          <color indexed="64"/>
        </right>
      </border>
    </dxf>
  </rfmt>
  <rfmt sheetId="6" sqref="A17"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B17"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cc rId="442" sId="6" odxf="1" dxf="1">
    <nc r="C17" t="inlineStr">
      <is>
        <t>有点晒</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D17" start="0" length="0">
    <dxf>
      <font>
        <sz val="10"/>
        <color rgb="FF7030A0"/>
        <name val="微软雅黑"/>
        <family val="2"/>
        <charset val="134"/>
        <scheme val="none"/>
      </font>
      <alignment vertical="center" wrapText="1"/>
      <border outline="0">
        <left style="thin">
          <color indexed="64"/>
        </left>
        <right style="thin">
          <color indexed="64"/>
        </right>
        <bottom style="thin">
          <color indexed="64"/>
        </bottom>
      </border>
    </dxf>
  </rfmt>
  <rcc rId="443" sId="6" odxf="1" dxf="1">
    <nc r="E17" t="inlineStr">
      <is>
        <t>有点晒</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F17"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17"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H17"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I1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J1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K1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L1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M1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N17"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fmt sheetId="6" sqref="A18"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cc rId="444" sId="6" odxf="1" dxf="1">
    <nc r="B18" t="inlineStr">
      <is>
        <t>遮阳帘全关</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ndxf>
  </rcc>
  <rcc rId="445" sId="6" odxf="1" dxf="1">
    <nc r="C18" t="inlineStr">
      <is>
        <t>关闭遮阳帘</t>
        <phoneticPr fontId="0" type="noConversion"/>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ndxf>
  </rcc>
  <rfmt sheetId="6" sqref="D18" start="0" length="0">
    <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dxf>
  </rfmt>
  <rcc rId="446" sId="6" odxf="1" dxf="1">
    <nc r="E18" t="inlineStr">
      <is>
        <t>关上/关掉遮阳帘</t>
        <phoneticPr fontId="0" type="noConversion"/>
      </is>
    </nc>
    <odxf>
      <font>
        <sz val="10"/>
        <color auto="1"/>
        <name val="Arial"/>
        <family val="2"/>
        <scheme val="none"/>
      </font>
      <alignment horizontal="general" vertical="bottom" wrapText="0"/>
      <border outline="0">
        <left/>
        <right/>
        <bottom/>
      </border>
    </odxf>
    <ndxf>
      <font>
        <sz val="10"/>
        <color rgb="FF7030A0"/>
        <name val="微软雅黑"/>
        <family val="2"/>
        <charset val="134"/>
        <scheme val="none"/>
      </font>
      <alignment horizontal="left" vertical="center" wrapText="1"/>
      <border outline="0">
        <left style="thin">
          <color indexed="64"/>
        </left>
        <right style="thin">
          <color indexed="64"/>
        </right>
        <bottom style="thin">
          <color indexed="64"/>
        </bottom>
      </border>
    </ndxf>
  </rcc>
  <rfmt sheetId="6" sqref="F1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G1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H1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I1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J1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K1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L1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M1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fmt sheetId="6" sqref="N18" start="0" length="0">
    <dxf>
      <font>
        <sz val="10"/>
        <color rgb="FF7030A0"/>
        <name val="微软雅黑"/>
        <family val="2"/>
        <charset val="134"/>
        <scheme val="none"/>
      </font>
      <alignment horizontal="left" vertical="center" wrapText="1"/>
      <border outline="0">
        <left style="thin">
          <color indexed="64"/>
        </left>
        <right style="thin">
          <color indexed="64"/>
        </right>
        <top style="thin">
          <color indexed="64"/>
        </top>
        <bottom style="thin">
          <color indexed="64"/>
        </bottom>
      </border>
    </dxf>
  </rfmt>
  <rrc rId="447" sId="6" ref="A1:A1048576" action="deleteCol">
    <rfmt sheetId="6" xfDxf="1" sqref="A1:A1048576" start="0" length="0"/>
    <rcc rId="0" sId="6" dxf="1">
      <nc r="A1" t="inlineStr">
        <is>
          <t>二级功能</t>
          <phoneticPr fontId="0" type="noConversion"/>
        </is>
      </nc>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0" sId="6" dxf="1">
      <nc r="A2" t="inlineStr">
        <is>
          <t>天窗</t>
        </is>
      </nc>
      <n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ndxf>
    </rcc>
    <rfmt sheetId="6" sqref="A3"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4"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5"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6"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7"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8"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9"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10"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11"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cc rId="0" sId="6" dxf="1">
      <nc r="A12" t="inlineStr">
        <is>
          <t>遮阳帘</t>
        </is>
      </nc>
      <n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ndxf>
    </rcc>
    <rfmt sheetId="6" sqref="A13"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14"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15"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16"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17"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A18"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rc>
  <rrc rId="448" sId="6" ref="A1:A1048576" action="deleteCol">
    <rfmt sheetId="6" xfDxf="1" sqref="A1:A1048576" start="0" length="0"/>
    <rcc rId="0" sId="6" dxf="1">
      <nc r="A1" t="inlineStr">
        <is>
          <t>控制范围</t>
          <phoneticPr fontId="0" type="noConversion"/>
        </is>
      </nc>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0" sId="6" dxf="1">
      <nc r="A2" t="inlineStr">
        <is>
          <t>天窗全开</t>
        </is>
      </nc>
      <n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ndxf>
    </rcc>
    <rfmt sheetId="6" sqref="A3"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cc rId="0" sId="6" dxf="1">
      <nc r="A4" t="inlineStr">
        <is>
          <t>天窗舒适</t>
          <phoneticPr fontId="0" type="noConversion"/>
        </is>
      </nc>
      <ndxf>
        <font>
          <sz val="10"/>
          <color rgb="FF7030A0"/>
          <name val="微软雅黑"/>
          <family val="2"/>
          <charset val="134"/>
          <scheme val="none"/>
        </font>
        <fill>
          <patternFill patternType="solid">
            <bgColor theme="4" tint="0.59999389629810485"/>
          </patternFill>
        </fill>
        <alignment horizontal="center" vertical="center" wrapText="1"/>
        <border outline="0">
          <left style="thin">
            <color indexed="64"/>
          </left>
          <right style="thin">
            <color indexed="64"/>
          </right>
          <top style="thin">
            <color indexed="64"/>
          </top>
          <bottom style="thin">
            <color indexed="64"/>
          </bottom>
        </border>
      </ndxf>
    </rcc>
    <rfmt sheetId="6" sqref="A5" start="0" length="0">
      <dxf>
        <font>
          <sz val="10"/>
          <color rgb="FF7030A0"/>
          <name val="微软雅黑"/>
          <family val="2"/>
          <charset val="134"/>
          <scheme val="none"/>
        </font>
        <fill>
          <patternFill patternType="solid">
            <bgColor theme="4" tint="0.59999389629810485"/>
          </patternFill>
        </fill>
        <alignment horizontal="center" vertical="center" wrapText="1"/>
        <border outline="0">
          <left style="thin">
            <color indexed="64"/>
          </left>
          <right style="thin">
            <color indexed="64"/>
          </right>
          <top style="thin">
            <color indexed="64"/>
          </top>
          <bottom style="thin">
            <color indexed="64"/>
          </bottom>
        </border>
      </dxf>
    </rfmt>
    <rfmt sheetId="6" sqref="A6" start="0" length="0">
      <dxf>
        <font>
          <sz val="10"/>
          <color rgb="FF7030A0"/>
          <name val="微软雅黑"/>
          <family val="2"/>
          <charset val="134"/>
          <scheme val="none"/>
        </font>
        <fill>
          <patternFill patternType="solid">
            <bgColor theme="4" tint="0.59999389629810485"/>
          </patternFill>
        </fill>
        <alignment horizontal="center" vertical="center" wrapText="1"/>
        <border outline="0">
          <left style="thin">
            <color indexed="64"/>
          </left>
          <right style="thin">
            <color indexed="64"/>
          </right>
          <top style="thin">
            <color indexed="64"/>
          </top>
          <bottom style="thin">
            <color indexed="64"/>
          </bottom>
        </border>
      </dxf>
    </rfmt>
    <rfmt sheetId="6" sqref="A7" start="0" length="0">
      <dxf>
        <font>
          <sz val="10"/>
          <color rgb="FF7030A0"/>
          <name val="微软雅黑"/>
          <family val="2"/>
          <charset val="134"/>
          <scheme val="none"/>
        </font>
        <fill>
          <patternFill patternType="solid">
            <bgColor theme="4" tint="0.59999389629810485"/>
          </patternFill>
        </fill>
        <alignment horizontal="center" vertical="center" wrapText="1"/>
        <border outline="0">
          <left style="thin">
            <color indexed="64"/>
          </left>
          <right style="thin">
            <color indexed="64"/>
          </right>
          <top style="thin">
            <color indexed="64"/>
          </top>
          <bottom style="thin">
            <color indexed="64"/>
          </bottom>
        </border>
      </dxf>
    </rfmt>
    <rcc rId="0" sId="6" dxf="1">
      <nc r="A8" t="inlineStr">
        <is>
          <t>天窗全关</t>
          <phoneticPr fontId="0" type="noConversion"/>
        </is>
      </nc>
      <n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ndxf>
    </rcc>
    <rcc rId="0" sId="6" dxf="1">
      <nc r="A9" t="inlineStr">
        <is>
          <t>天窗起翘</t>
          <phoneticPr fontId="0" type="noConversion"/>
        </is>
      </nc>
      <n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ndxf>
    </rcc>
    <rfmt sheetId="6" sqref="A10"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fmt sheetId="6" sqref="A11"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cc rId="0" sId="6" dxf="1">
      <nc r="A12" t="inlineStr">
        <is>
          <t>遮阳帘全开</t>
        </is>
      </nc>
      <n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ndxf>
    </rcc>
    <rcc rId="0" sId="6" dxf="1">
      <nc r="A13" t="inlineStr">
        <is>
          <t>遮阳帘半开/半关（舒适）</t>
          <phoneticPr fontId="0" type="noConversion"/>
        </is>
      </nc>
      <n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ndxf>
    </rcc>
    <rfmt sheetId="6" sqref="A14"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fmt sheetId="6" sqref="A15"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fmt sheetId="6" sqref="A16"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fmt sheetId="6" sqref="A17"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cc rId="0" sId="6" dxf="1">
      <nc r="A18" t="inlineStr">
        <is>
          <t>遮阳帘全关</t>
        </is>
      </nc>
      <n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ndxf>
    </rcc>
  </rrc>
  <rfmt sheetId="6" sqref="A12" start="0" length="2147483647">
    <dxf>
      <font>
        <b/>
      </font>
    </dxf>
  </rfmt>
  <rfmt sheetId="6" sqref="A12:B18" start="0" length="2147483647">
    <dxf>
      <font>
        <b val="0"/>
      </font>
    </dxf>
  </rfmt>
  <rfmt sheetId="6" sqref="A12:B18" start="0" length="2147483647">
    <dxf>
      <font>
        <color rgb="FF0070C0"/>
      </font>
    </dxf>
  </rfmt>
  <rfmt sheetId="6" sqref="C12:L18" start="0" length="2147483647">
    <dxf>
      <font>
        <color rgb="FF0070C0"/>
      </font>
    </dxf>
  </rfmt>
  <rfmt sheetId="6" sqref="B13:B17">
    <dxf>
      <alignment wrapText="0"/>
    </dxf>
  </rfmt>
  <rfmt sheetId="6" sqref="B13:B17">
    <dxf>
      <alignment wrapText="1"/>
    </dxf>
  </rfmt>
  <rfmt sheetId="6" sqref="C15">
    <dxf>
      <numFmt numFmtId="0" formatCode="General"/>
    </dxf>
  </rfmt>
  <rfmt sheetId="6" sqref="B16" start="0" length="0">
    <dxf>
      <border>
        <bottom style="thin">
          <color indexed="64"/>
        </bottom>
      </border>
    </dxf>
  </rfmt>
  <rfmt sheetId="6" sqref="G16" start="0" length="0">
    <dxf>
      <border>
        <bottom style="thin">
          <color indexed="64"/>
        </bottom>
      </border>
    </dxf>
  </rfmt>
  <rfmt sheetId="6" sqref="G17" start="0" length="0">
    <dxf>
      <border>
        <left/>
        <right/>
        <top/>
        <bottom/>
      </border>
    </dxf>
  </rfmt>
  <rfmt sheetId="6" sqref="G16" start="0" length="0">
    <dxf>
      <border>
        <bottom style="thin">
          <color indexed="64"/>
        </bottom>
      </border>
    </dxf>
  </rfmt>
  <rfmt sheetId="6" sqref="G17:G18" start="0" length="0">
    <dxf>
      <border>
        <left style="thin">
          <color indexed="64"/>
        </left>
      </border>
    </dxf>
  </rfmt>
  <rfmt sheetId="6" sqref="G17:G18" start="0" length="0">
    <dxf>
      <border>
        <right style="thin">
          <color indexed="64"/>
        </right>
      </border>
    </dxf>
  </rfmt>
  <rfmt sheetId="6" sqref="F17" start="0" length="0">
    <dxf>
      <border>
        <left/>
        <right/>
        <top/>
        <bottom/>
      </border>
    </dxf>
  </rfmt>
  <rfmt sheetId="6" sqref="C16:C17" start="0" length="0">
    <dxf>
      <border>
        <left/>
      </border>
    </dxf>
  </rfmt>
  <rfmt sheetId="6" sqref="C16" start="0" length="0">
    <dxf>
      <border>
        <top/>
      </border>
    </dxf>
  </rfmt>
  <rfmt sheetId="6" sqref="C16:C17" start="0" length="0">
    <dxf>
      <border>
        <right/>
      </border>
    </dxf>
  </rfmt>
  <rfmt sheetId="6" sqref="C17" start="0" length="0">
    <dxf>
      <border>
        <bottom/>
      </border>
    </dxf>
  </rfmt>
  <rfmt sheetId="6" sqref="C16:C17">
    <dxf>
      <border>
        <top/>
        <bottom/>
        <horizontal/>
      </border>
    </dxf>
  </rfmt>
  <rfmt sheetId="6" sqref="B16" start="0" length="0">
    <dxf>
      <border>
        <left/>
        <right/>
        <top/>
        <bottom/>
      </border>
    </dxf>
  </rfmt>
  <rfmt sheetId="6" sqref="A16" start="0" length="0">
    <dxf>
      <border>
        <left/>
        <right/>
        <top/>
        <bottom/>
      </border>
    </dxf>
  </rfmt>
  <rfmt sheetId="6" sqref="A18" start="0" length="0">
    <dxf>
      <border>
        <left/>
        <right/>
        <top/>
        <bottom/>
      </border>
    </dxf>
  </rfmt>
  <rfmt sheetId="6" sqref="A18:G18" start="0" length="0">
    <dxf>
      <border>
        <top/>
      </border>
    </dxf>
  </rfmt>
  <rfmt sheetId="6" sqref="G18" start="0" length="0">
    <dxf>
      <border>
        <right/>
      </border>
    </dxf>
  </rfmt>
  <rfmt sheetId="6" sqref="A18:G18" start="0" length="0">
    <dxf>
      <border>
        <bottom/>
      </border>
    </dxf>
  </rfmt>
  <rcc rId="449" sId="6">
    <nc r="F17" t="inlineStr">
      <is>
        <t>遮阳帘已关闭</t>
        <phoneticPr fontId="0" type="noConversion"/>
      </is>
    </nc>
  </rcc>
  <rfmt sheetId="6" sqref="A17:A18" start="0" length="0">
    <dxf>
      <border>
        <left style="thin">
          <color indexed="64"/>
        </left>
      </border>
    </dxf>
  </rfmt>
  <rfmt sheetId="6" sqref="A17:G17" start="0" length="0">
    <dxf>
      <border>
        <top style="thin">
          <color indexed="64"/>
        </top>
      </border>
    </dxf>
  </rfmt>
  <rfmt sheetId="6" sqref="G17:G18" start="0" length="0">
    <dxf>
      <border>
        <right style="thin">
          <color indexed="64"/>
        </right>
      </border>
    </dxf>
  </rfmt>
  <rfmt sheetId="6" sqref="A18:G18" start="0" length="0">
    <dxf>
      <border>
        <bottom style="thin">
          <color indexed="64"/>
        </bottom>
      </border>
    </dxf>
  </rfmt>
  <rfmt sheetId="6" sqref="A16" start="0" length="0">
    <dxf>
      <border>
        <left style="thin">
          <color indexed="64"/>
        </left>
        <right style="thin">
          <color indexed="64"/>
        </right>
        <top style="thin">
          <color indexed="64"/>
        </top>
        <bottom style="thin">
          <color indexed="64"/>
        </bottom>
      </border>
    </dxf>
  </rfmt>
  <rfmt sheetId="6" sqref="A17:A18" start="0" length="0">
    <dxf>
      <border>
        <right style="thin">
          <color indexed="64"/>
        </right>
      </border>
    </dxf>
  </rfmt>
  <rfmt sheetId="6" sqref="A17:A18">
    <dxf>
      <border>
        <left style="thin">
          <color indexed="64"/>
        </left>
        <right style="thin">
          <color indexed="64"/>
        </right>
        <top style="thin">
          <color indexed="64"/>
        </top>
        <bottom style="thin">
          <color indexed="64"/>
        </bottom>
        <vertical style="thin">
          <color indexed="64"/>
        </vertical>
        <horizontal style="thin">
          <color indexed="64"/>
        </horizontal>
      </border>
    </dxf>
  </rfmt>
  <rcc rId="450" sId="6">
    <nc r="B18" t="inlineStr">
      <is>
        <t xml:space="preserve">
</t>
        <phoneticPr fontId="0" type="noConversion"/>
      </is>
    </nc>
  </rcc>
  <rcc rId="451" sId="6">
    <nc r="B17" t="inlineStr">
      <is>
        <t>遮阳帘已关闭</t>
        <phoneticPr fontId="0" type="noConversion"/>
      </is>
    </nc>
  </rcc>
  <rfmt sheetId="6" sqref="C17:C18" start="0" length="0">
    <dxf>
      <border>
        <left style="thin">
          <color indexed="64"/>
        </left>
      </border>
    </dxf>
  </rfmt>
  <rfmt sheetId="6" sqref="C17:C18" start="0" length="0">
    <dxf>
      <border>
        <right style="thin">
          <color indexed="64"/>
        </right>
      </border>
    </dxf>
  </rfmt>
  <rfmt sheetId="6" sqref="C17:C18">
    <dxf>
      <border>
        <left style="thin">
          <color indexed="64"/>
        </left>
        <right style="thin">
          <color indexed="64"/>
        </right>
        <top style="thin">
          <color indexed="64"/>
        </top>
        <bottom style="thin">
          <color indexed="64"/>
        </bottom>
        <vertical style="thin">
          <color indexed="64"/>
        </vertical>
        <horizontal style="thin">
          <color indexed="64"/>
        </horizontal>
      </border>
    </dxf>
  </rfmt>
  <rcc rId="452" sId="6">
    <nc r="G17" t="inlineStr">
      <is>
        <t>APIM_sunroof_control;
APIM_sunshsade_control</t>
        <phoneticPr fontId="0" type="noConversion"/>
      </is>
    </nc>
  </rcc>
  <rfmt sheetId="6" sqref="F17:F18" start="0" length="0">
    <dxf>
      <border>
        <left style="thin">
          <color indexed="64"/>
        </left>
      </border>
    </dxf>
  </rfmt>
  <rfmt sheetId="6" sqref="F17:F18" start="0" length="0">
    <dxf>
      <border>
        <right style="thin">
          <color indexed="64"/>
        </right>
      </border>
    </dxf>
  </rfmt>
  <rfmt sheetId="6" sqref="H18" start="0" length="0">
    <dxf>
      <border>
        <left/>
        <right/>
        <top/>
        <bottom/>
      </border>
    </dxf>
  </rfmt>
  <rfmt sheetId="6" sqref="H18:L18" start="0" length="0">
    <dxf>
      <border>
        <top/>
      </border>
    </dxf>
  </rfmt>
  <rfmt sheetId="6" sqref="L18" start="0" length="0">
    <dxf>
      <border>
        <right/>
      </border>
    </dxf>
  </rfmt>
  <rfmt sheetId="6" sqref="H18:L18" start="0" length="0">
    <dxf>
      <border>
        <bottom/>
      </border>
    </dxf>
  </rfmt>
  <rfmt sheetId="6" sqref="H16" start="0" length="0">
    <dxf>
      <border>
        <bottom style="thin">
          <color indexed="64"/>
        </bottom>
      </border>
    </dxf>
  </rfmt>
  <rfmt sheetId="6" sqref="I16" start="0" length="0">
    <dxf>
      <border>
        <bottom style="thin">
          <color indexed="64"/>
        </bottom>
      </border>
    </dxf>
  </rfmt>
  <rfmt sheetId="6" sqref="K16" start="0" length="0">
    <dxf>
      <border>
        <left style="thin">
          <color indexed="64"/>
        </left>
        <right style="thin">
          <color indexed="64"/>
        </right>
        <top/>
        <bottom style="thin">
          <color indexed="64"/>
        </bottom>
      </border>
    </dxf>
  </rfmt>
  <rfmt sheetId="6" sqref="J16" start="0" length="0">
    <dxf>
      <border>
        <left style="thin">
          <color indexed="64"/>
        </left>
        <right style="thin">
          <color indexed="64"/>
        </right>
        <top/>
        <bottom style="thin">
          <color indexed="64"/>
        </bottom>
      </border>
    </dxf>
  </rfmt>
  <rfmt sheetId="6" sqref="L16" start="0" length="0">
    <dxf>
      <border>
        <left style="thin">
          <color indexed="64"/>
        </left>
        <right style="thin">
          <color indexed="64"/>
        </right>
        <top/>
        <bottom style="thin">
          <color indexed="64"/>
        </bottom>
      </border>
    </dxf>
  </rfmt>
  <rfmt sheetId="6" sqref="H17:H18" start="0" length="0">
    <dxf>
      <border>
        <left style="thin">
          <color indexed="64"/>
        </left>
      </border>
    </dxf>
  </rfmt>
  <rfmt sheetId="6" sqref="H17:H18" start="0" length="0">
    <dxf>
      <border>
        <right style="thin">
          <color indexed="64"/>
        </right>
      </border>
    </dxf>
  </rfmt>
  <rfmt sheetId="6" sqref="H18" start="0" length="0">
    <dxf>
      <border>
        <bottom style="thin">
          <color indexed="64"/>
        </bottom>
      </border>
    </dxf>
  </rfmt>
  <rfmt sheetId="6" sqref="I17:I18" start="0" length="0">
    <dxf>
      <border>
        <right style="thin">
          <color indexed="64"/>
        </right>
      </border>
    </dxf>
  </rfmt>
  <rfmt sheetId="6" sqref="I18" start="0" length="0">
    <dxf>
      <border>
        <bottom style="thin">
          <color indexed="64"/>
        </bottom>
      </border>
    </dxf>
  </rfmt>
  <rfmt sheetId="6" sqref="J17:J18" start="0" length="0">
    <dxf>
      <border>
        <right style="thin">
          <color indexed="64"/>
        </right>
      </border>
    </dxf>
  </rfmt>
  <rfmt sheetId="6" sqref="J18" start="0" length="0">
    <dxf>
      <border>
        <bottom style="thin">
          <color indexed="64"/>
        </bottom>
      </border>
    </dxf>
  </rfmt>
  <rfmt sheetId="6" sqref="K17:K18" start="0" length="0">
    <dxf>
      <border>
        <right style="thin">
          <color indexed="64"/>
        </right>
      </border>
    </dxf>
  </rfmt>
  <rfmt sheetId="6" sqref="K18" start="0" length="0">
    <dxf>
      <border>
        <bottom style="thin">
          <color indexed="64"/>
        </bottom>
      </border>
    </dxf>
  </rfmt>
  <rfmt sheetId="6" sqref="L17:L18" start="0" length="0">
    <dxf>
      <border>
        <right style="thin">
          <color indexed="64"/>
        </right>
      </border>
    </dxf>
  </rfmt>
  <rfmt sheetId="6" sqref="L18" start="0" length="0">
    <dxf>
      <border>
        <bottom style="thin">
          <color indexed="64"/>
        </bottom>
      </border>
    </dxf>
  </rfmt>
  <rcc rId="453" sId="6">
    <nc r="H17" t="inlineStr">
      <is>
        <t>0x00;
0x0b;</t>
        <phoneticPr fontId="0" type="noConversion"/>
      </is>
    </nc>
  </rcc>
  <rcc rId="454" sId="6">
    <nc r="I17" t="inlineStr">
      <is>
        <t>n/a</t>
        <phoneticPr fontId="0" type="noConversion"/>
      </is>
    </nc>
  </rcc>
  <rcc rId="455" sId="6">
    <nc r="J17" t="inlineStr">
      <is>
        <t>n/a</t>
        <phoneticPr fontId="0" type="noConversion"/>
      </is>
    </nc>
  </rcc>
  <rcc rId="456" sId="6">
    <nc r="K17" t="inlineStr">
      <is>
        <t>APIM_sunroof_control;
APIM_sunshsade_control</t>
        <phoneticPr fontId="0" type="noConversion"/>
      </is>
    </nc>
  </rcc>
  <rcc rId="457" sId="6">
    <nc r="L17" t="inlineStr">
      <is>
        <t>0x00;
0x0b;</t>
        <phoneticPr fontId="0" type="noConversion"/>
      </is>
    </nc>
  </rcc>
  <rfmt sheetId="6" sqref="B16" start="0" length="0">
    <dxf>
      <border>
        <left style="thin">
          <color indexed="64"/>
        </left>
        <right style="thin">
          <color indexed="64"/>
        </right>
        <top/>
        <bottom style="thin">
          <color indexed="64"/>
        </bottom>
      </border>
    </dxf>
  </rfmt>
  <rfmt sheetId="6" sqref="A15:C16">
    <dxf>
      <fill>
        <patternFill>
          <bgColor theme="0" tint="-0.249977111117893"/>
        </patternFill>
      </fill>
    </dxf>
  </rfmt>
  <rfmt sheetId="6" sqref="A11:C11">
    <dxf>
      <fill>
        <patternFill>
          <bgColor theme="0" tint="-0.249977111117893"/>
        </patternFill>
      </fill>
    </dxf>
  </rfmt>
  <rcv guid="{D28585A0-5D39-432E-81ED-6A20A7471F73}" action="delete"/>
  <rdn rId="0" localSheetId="1" customView="1" name="Z_D28585A0_5D39_432E_81ED_6A20A7471F73_.wvu.PrintArea" hidden="1" oldHidden="1">
    <formula>'DureOS-LIN'!$A$2:$AN$233</formula>
    <oldFormula>'DureOS-LIN'!$A$2:$AN$233</oldFormula>
  </rdn>
  <rdn rId="0" localSheetId="1" customView="1" name="Z_D28585A0_5D39_432E_81ED_6A20A7471F73_.wvu.Cols" hidden="1" oldHidden="1">
    <formula>'DureOS-LIN'!$I:$V</formula>
    <oldFormula>'DureOS-LIN'!$I:$V</oldFormula>
  </rdn>
  <rdn rId="0" localSheetId="1" customView="1" name="Z_D28585A0_5D39_432E_81ED_6A20A7471F73_.wvu.FilterData" hidden="1" oldHidden="1">
    <formula>'DureOS-LIN'!$A$2:$HK$304</formula>
    <oldFormula>'DureOS-LIN'!$A$2:$HK$304</oldFormula>
  </rdn>
  <rdn rId="0" localSheetId="4" customView="1" name="Z_D28585A0_5D39_432E_81ED_6A20A7471F73_.wvu.Cols" hidden="1" oldHidden="1">
    <formula>'语音-LIN_map'!$F:$G</formula>
    <oldFormula>'语音-LIN_map'!$F:$G</oldFormula>
  </rdn>
  <rdn rId="0" localSheetId="6" customView="1" name="Z_D28585A0_5D39_432E_81ED_6A20A7471F73_.wvu.Cols" hidden="1" oldHidden="1">
    <formula>Sheet1!$D:$E</formula>
  </rdn>
  <rcv guid="{D28585A0-5D39-432E-81ED-6A20A7471F73}"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63" sId="5" eol="1" ref="A11:XFD11" action="insertRow"/>
  <rfmt sheetId="5" sqref="C11">
    <dxf>
      <font>
        <b/>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style="thin">
          <color indexed="64"/>
        </right>
        <top/>
        <bottom/>
      </border>
    </dxf>
  </rfmt>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64" sId="6" ref="A1:B1048576" action="insertCol">
    <undo index="65535" exp="area" ref3D="1" dr="$D$1:$E$1048576" dn="Z_D28585A0_5D39_432E_81ED_6A20A7471F73_.wvu.Cols" sId="6"/>
  </rrc>
  <rcc rId="465" sId="6" odxf="1" dxf="1">
    <nc r="A1" t="inlineStr">
      <is>
        <t>二级功能</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466" sId="6" odxf="1" dxf="1">
    <nc r="B1" t="inlineStr">
      <is>
        <t>控制范围</t>
        <phoneticPr fontId="0" type="noConversion"/>
      </is>
    </nc>
    <odxf>
      <font>
        <b val="0"/>
        <sz val="10"/>
        <color auto="1"/>
        <name val="Arial"/>
        <family val="2"/>
        <scheme val="none"/>
      </font>
      <fill>
        <patternFill patternType="none">
          <bgColor indexed="65"/>
        </patternFill>
      </fill>
      <alignment horizontal="general" vertical="bottom" wrapText="0"/>
      <border outline="0">
        <left/>
        <right/>
        <top/>
        <bottom/>
      </border>
    </odxf>
    <ndxf>
      <font>
        <b/>
        <sz val="10"/>
        <color rgb="FF00B050"/>
        <name val="微软雅黑"/>
        <family val="2"/>
        <charset val="134"/>
        <scheme val="none"/>
      </font>
      <fill>
        <patternFill patternType="solid">
          <bgColor theme="8" tint="0.39997558519241921"/>
        </patternFill>
      </fill>
      <alignment horizontal="center" vertical="center" wrapText="1"/>
      <border outline="0">
        <left style="thin">
          <color indexed="64"/>
        </left>
        <right style="thin">
          <color indexed="64"/>
        </right>
        <top style="thin">
          <color indexed="64"/>
        </top>
        <bottom style="thin">
          <color indexed="64"/>
        </bottom>
      </border>
    </ndxf>
  </rcc>
  <rcc rId="467" sId="6" odxf="1" dxf="1">
    <nc r="A2" t="inlineStr">
      <is>
        <t>天窗</t>
      </is>
    </nc>
    <odxf>
      <font>
        <sz val="10"/>
        <color auto="1"/>
        <name val="Arial"/>
        <family val="2"/>
        <scheme val="none"/>
      </font>
      <alignment horizontal="general" vertical="bottom" wrapText="0"/>
      <border outline="0">
        <left/>
        <right/>
        <top/>
        <bottom/>
      </border>
    </odxf>
    <n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ndxf>
  </rcc>
  <rfmt sheetId="6" sqref="B2"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fmt sheetId="6" sqref="B4" start="0" length="0">
    <dxf>
      <font>
        <sz val="10"/>
        <color rgb="FF7030A0"/>
        <name val="微软雅黑"/>
        <family val="2"/>
        <charset val="134"/>
        <scheme val="none"/>
      </font>
      <fill>
        <patternFill patternType="solid">
          <bgColor theme="4" tint="0.59999389629810485"/>
        </patternFill>
      </fill>
      <alignment horizontal="center" vertical="center" wrapText="1"/>
      <border outline="0">
        <left style="thin">
          <color indexed="64"/>
        </left>
        <right style="thin">
          <color indexed="64"/>
        </right>
        <top style="thin">
          <color indexed="64"/>
        </top>
        <bottom style="thin">
          <color indexed="64"/>
        </bottom>
      </border>
    </dxf>
  </rfmt>
  <rfmt sheetId="6" sqref="B8"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fmt sheetId="6" sqref="B9"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fmt sheetId="6" sqref="A12" start="0" length="0">
    <dxf>
      <font>
        <sz val="10"/>
        <color rgb="FF7030A0"/>
        <name val="微软雅黑"/>
        <family val="2"/>
        <charset val="134"/>
        <scheme val="none"/>
      </font>
      <alignment horizontal="center" vertical="top" wrapText="1"/>
      <border outline="0">
        <left style="thin">
          <color indexed="64"/>
        </left>
        <right style="thin">
          <color indexed="64"/>
        </right>
        <top style="thin">
          <color indexed="64"/>
        </top>
        <bottom style="thin">
          <color indexed="64"/>
        </bottom>
      </border>
    </dxf>
  </rfmt>
  <rfmt sheetId="6" sqref="B12"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fmt sheetId="6" sqref="B13"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fmt sheetId="6" sqref="B18" start="0" length="0">
    <dxf>
      <font>
        <sz val="10"/>
        <color rgb="FF7030A0"/>
        <name val="微软雅黑"/>
        <family val="2"/>
        <charset val="134"/>
        <scheme val="none"/>
      </font>
      <alignment horizontal="center" vertical="center" wrapText="1"/>
      <border outline="0">
        <left style="thin">
          <color indexed="64"/>
        </left>
        <right style="thin">
          <color indexed="64"/>
        </right>
        <top style="thin">
          <color indexed="64"/>
        </top>
        <bottom style="thin">
          <color indexed="64"/>
        </bottom>
      </border>
    </dxf>
  </rfmt>
  <rfmt sheetId="6" sqref="A19" start="0" length="0">
    <dxf>
      <font>
        <sz val="10"/>
        <color rgb="FF7030A0"/>
        <name val="微软雅黑"/>
        <family val="2"/>
        <charset val="134"/>
        <scheme val="none"/>
      </font>
      <alignment horizontal="center" vertical="top" wrapText="1"/>
    </dxf>
  </rfmt>
  <rfmt sheetId="6" sqref="B19" start="0" length="0">
    <dxf>
      <font>
        <sz val="10"/>
        <color rgb="FF7030A0"/>
        <name val="微软雅黑"/>
        <family val="2"/>
        <charset val="134"/>
        <scheme val="none"/>
      </font>
      <alignment horizontal="center" vertical="center" wrapText="1"/>
    </dxf>
  </rfmt>
  <rfmt sheetId="6" sqref="B17:B18" start="0" length="0">
    <dxf>
      <border>
        <left style="thin">
          <color indexed="64"/>
        </left>
      </border>
    </dxf>
  </rfmt>
  <rfmt sheetId="6" sqref="B17" start="0" length="0">
    <dxf>
      <border>
        <top style="thin">
          <color indexed="64"/>
        </top>
      </border>
    </dxf>
  </rfmt>
  <rfmt sheetId="6" sqref="B18" start="0" length="0">
    <dxf>
      <border>
        <left/>
        <right/>
        <top/>
        <bottom/>
      </border>
    </dxf>
  </rfmt>
  <rfmt sheetId="6" sqref="B17:B18" start="0" length="0">
    <dxf>
      <border>
        <left style="thin">
          <color indexed="64"/>
        </left>
      </border>
    </dxf>
  </rfmt>
  <rfmt sheetId="6" sqref="B17:B18" start="0" length="0">
    <dxf>
      <border>
        <right style="thin">
          <color indexed="64"/>
        </right>
      </border>
    </dxf>
  </rfmt>
  <rfmt sheetId="6" sqref="B18" start="0" length="0">
    <dxf>
      <border>
        <bottom style="thin">
          <color indexed="64"/>
        </bottom>
      </border>
    </dxf>
  </rfmt>
  <rfmt sheetId="6" sqref="A2" start="0" length="0">
    <dxf>
      <border>
        <left/>
        <right/>
        <top/>
        <bottom/>
      </border>
    </dxf>
  </rfmt>
  <rcc rId="468" sId="6" odxf="1" dxf="1">
    <nc r="B2" t="inlineStr">
      <is>
        <t>天窗全开</t>
      </is>
    </nc>
    <ndxf>
      <alignment vertical="top"/>
      <border outline="0">
        <right/>
        <top/>
        <bottom/>
      </border>
    </ndxf>
  </rcc>
  <rfmt sheetId="6" sqref="A3" start="0" length="0">
    <dxf>
      <font>
        <sz val="10"/>
        <color rgb="FF7030A0"/>
        <name val="微软雅黑"/>
        <family val="2"/>
        <charset val="134"/>
        <scheme val="none"/>
      </font>
      <alignment horizontal="center" vertical="top" wrapText="1"/>
    </dxf>
  </rfmt>
  <rfmt sheetId="6" sqref="B3" start="0" length="0">
    <dxf>
      <font>
        <sz val="10"/>
        <color rgb="FF7030A0"/>
        <name val="微软雅黑"/>
        <family val="2"/>
        <charset val="134"/>
        <scheme val="none"/>
      </font>
      <alignment horizontal="center" vertical="top" wrapText="1"/>
    </dxf>
  </rfmt>
  <rfmt sheetId="6" sqref="A4" start="0" length="0">
    <dxf>
      <font>
        <sz val="10"/>
        <color rgb="FF7030A0"/>
        <name val="微软雅黑"/>
        <family val="2"/>
        <charset val="134"/>
        <scheme val="none"/>
      </font>
      <alignment horizontal="center" vertical="top" wrapText="1"/>
    </dxf>
  </rfmt>
  <rfmt sheetId="6" sqref="B4" start="0" length="0">
    <dxf>
      <fill>
        <patternFill patternType="none">
          <bgColor indexed="65"/>
        </patternFill>
      </fill>
      <alignment vertical="top"/>
      <border outline="0">
        <left/>
        <right/>
        <top/>
        <bottom/>
      </border>
    </dxf>
  </rfmt>
  <rfmt sheetId="6" sqref="A5" start="0" length="0">
    <dxf>
      <font>
        <sz val="10"/>
        <color rgb="FF7030A0"/>
        <name val="微软雅黑"/>
        <family val="2"/>
        <charset val="134"/>
        <scheme val="none"/>
      </font>
      <alignment horizontal="center" vertical="top" wrapText="1"/>
    </dxf>
  </rfmt>
  <rfmt sheetId="6" sqref="B5" start="0" length="0">
    <dxf>
      <font>
        <sz val="10"/>
        <color rgb="FF7030A0"/>
        <name val="微软雅黑"/>
        <family val="2"/>
        <charset val="134"/>
        <scheme val="none"/>
      </font>
      <alignment horizontal="center" vertical="top" wrapText="1"/>
    </dxf>
  </rfmt>
  <rfmt sheetId="6" sqref="A6" start="0" length="0">
    <dxf>
      <font>
        <sz val="10"/>
        <color rgb="FF7030A0"/>
        <name val="微软雅黑"/>
        <family val="2"/>
        <charset val="134"/>
        <scheme val="none"/>
      </font>
      <alignment horizontal="center" vertical="top" wrapText="1"/>
    </dxf>
  </rfmt>
  <rfmt sheetId="6" sqref="B6" start="0" length="0">
    <dxf>
      <font>
        <sz val="10"/>
        <color rgb="FF7030A0"/>
        <name val="微软雅黑"/>
        <family val="2"/>
        <charset val="134"/>
        <scheme val="none"/>
      </font>
      <alignment horizontal="center" vertical="top" wrapText="1"/>
    </dxf>
  </rfmt>
  <rfmt sheetId="6" sqref="A7" start="0" length="0">
    <dxf>
      <font>
        <sz val="10"/>
        <color rgb="FF7030A0"/>
        <name val="微软雅黑"/>
        <family val="2"/>
        <charset val="134"/>
        <scheme val="none"/>
      </font>
      <alignment horizontal="center" vertical="top" wrapText="1"/>
    </dxf>
  </rfmt>
  <rfmt sheetId="6" sqref="B7" start="0" length="0">
    <dxf>
      <font>
        <sz val="10"/>
        <color rgb="FF7030A0"/>
        <name val="微软雅黑"/>
        <family val="2"/>
        <charset val="134"/>
        <scheme val="none"/>
      </font>
      <alignment horizontal="center" vertical="top" wrapText="1"/>
    </dxf>
  </rfmt>
  <rfmt sheetId="6" sqref="A8" start="0" length="0">
    <dxf>
      <font>
        <sz val="10"/>
        <color rgb="FF7030A0"/>
        <name val="微软雅黑"/>
        <family val="2"/>
        <charset val="134"/>
        <scheme val="none"/>
      </font>
      <alignment horizontal="center" vertical="top" wrapText="1"/>
    </dxf>
  </rfmt>
  <rcc rId="469" sId="6" odxf="1" dxf="1">
    <nc r="B8" t="inlineStr">
      <is>
        <t>天窗全关</t>
        <phoneticPr fontId="0" type="noConversion"/>
      </is>
    </nc>
    <ndxf>
      <alignment vertical="top"/>
      <border outline="0">
        <left/>
        <right/>
        <top/>
        <bottom/>
      </border>
    </ndxf>
  </rcc>
  <rfmt sheetId="6" sqref="A9" start="0" length="0">
    <dxf>
      <font>
        <sz val="10"/>
        <color rgb="FF7030A0"/>
        <name val="微软雅黑"/>
        <family val="2"/>
        <charset val="134"/>
        <scheme val="none"/>
      </font>
      <alignment horizontal="center" vertical="top" wrapText="1"/>
    </dxf>
  </rfmt>
  <rcc rId="470" sId="6" odxf="1" dxf="1">
    <nc r="B9" t="inlineStr">
      <is>
        <t>天窗起翘</t>
        <phoneticPr fontId="0" type="noConversion"/>
      </is>
    </nc>
    <ndxf>
      <alignment vertical="top"/>
      <border outline="0">
        <left/>
        <right/>
        <top/>
        <bottom/>
      </border>
    </ndxf>
  </rcc>
  <rfmt sheetId="6" sqref="A10" start="0" length="0">
    <dxf>
      <font>
        <sz val="10"/>
        <color rgb="FF7030A0"/>
        <name val="微软雅黑"/>
        <family val="2"/>
        <charset val="134"/>
        <scheme val="none"/>
      </font>
      <alignment horizontal="center" vertical="top" wrapText="1"/>
    </dxf>
  </rfmt>
  <rfmt sheetId="6" sqref="B10" start="0" length="0">
    <dxf>
      <font>
        <sz val="10"/>
        <color rgb="FF7030A0"/>
        <name val="微软雅黑"/>
        <family val="2"/>
        <charset val="134"/>
        <scheme val="none"/>
      </font>
      <alignment horizontal="center" vertical="top" wrapText="1"/>
    </dxf>
  </rfmt>
  <rfmt sheetId="6" sqref="A11" start="0" length="0">
    <dxf>
      <font>
        <sz val="10"/>
        <color rgb="FF7030A0"/>
        <name val="微软雅黑"/>
        <family val="2"/>
        <charset val="134"/>
        <scheme val="none"/>
      </font>
      <alignment horizontal="center" vertical="top" wrapText="1"/>
    </dxf>
  </rfmt>
  <rfmt sheetId="6" sqref="B11" start="0" length="0">
    <dxf>
      <font>
        <sz val="10"/>
        <color rgb="FF7030A0"/>
        <name val="微软雅黑"/>
        <family val="2"/>
        <charset val="134"/>
        <scheme val="none"/>
      </font>
      <alignment horizontal="center" vertical="top" wrapText="1"/>
    </dxf>
  </rfmt>
  <rcc rId="471" sId="6" odxf="1" dxf="1">
    <nc r="A12" t="inlineStr">
      <is>
        <t>遮阳帘</t>
      </is>
    </nc>
    <ndxf>
      <border outline="0">
        <left/>
        <right/>
        <top/>
        <bottom/>
      </border>
    </ndxf>
  </rcc>
  <rcc rId="472" sId="6" odxf="1" dxf="1">
    <nc r="B12" t="inlineStr">
      <is>
        <t>遮阳帘全开</t>
      </is>
    </nc>
    <ndxf>
      <alignment vertical="top"/>
      <border outline="0">
        <left/>
        <right/>
        <top/>
        <bottom/>
      </border>
    </ndxf>
  </rcc>
  <rfmt sheetId="6" sqref="A13" start="0" length="0">
    <dxf>
      <font>
        <sz val="10"/>
        <color rgb="FF7030A0"/>
        <name val="微软雅黑"/>
        <family val="2"/>
        <charset val="134"/>
        <scheme val="none"/>
      </font>
      <alignment horizontal="center" vertical="top" wrapText="1"/>
    </dxf>
  </rfmt>
  <rcc rId="473" sId="6" odxf="1" dxf="1">
    <nc r="B13" t="inlineStr">
      <is>
        <t>遮阳帘半开/半关（舒适）</t>
        <phoneticPr fontId="0" type="noConversion"/>
      </is>
    </nc>
    <ndxf>
      <alignment vertical="top"/>
      <border outline="0">
        <left/>
        <right/>
        <top/>
        <bottom/>
      </border>
    </ndxf>
  </rcc>
  <rfmt sheetId="6" sqref="A14" start="0" length="0">
    <dxf>
      <font>
        <sz val="10"/>
        <color rgb="FF7030A0"/>
        <name val="微软雅黑"/>
        <family val="2"/>
        <charset val="134"/>
        <scheme val="none"/>
      </font>
      <alignment horizontal="center" vertical="top" wrapText="1"/>
    </dxf>
  </rfmt>
  <rfmt sheetId="6" sqref="B14" start="0" length="0">
    <dxf>
      <font>
        <sz val="10"/>
        <color rgb="FF7030A0"/>
        <name val="微软雅黑"/>
        <family val="2"/>
        <charset val="134"/>
        <scheme val="none"/>
      </font>
      <alignment horizontal="center" vertical="top" wrapText="1"/>
    </dxf>
  </rfmt>
  <rfmt sheetId="6" sqref="A15" start="0" length="0">
    <dxf>
      <font>
        <sz val="10"/>
        <color rgb="FF7030A0"/>
        <name val="微软雅黑"/>
        <family val="2"/>
        <charset val="134"/>
        <scheme val="none"/>
      </font>
      <alignment horizontal="center" vertical="top" wrapText="1"/>
    </dxf>
  </rfmt>
  <rfmt sheetId="6" sqref="B15" start="0" length="0">
    <dxf>
      <font>
        <sz val="10"/>
        <color rgb="FF7030A0"/>
        <name val="微软雅黑"/>
        <family val="2"/>
        <charset val="134"/>
        <scheme val="none"/>
      </font>
      <alignment horizontal="center" vertical="top" wrapText="1"/>
    </dxf>
  </rfmt>
  <rfmt sheetId="6" sqref="A16" start="0" length="0">
    <dxf>
      <font>
        <sz val="10"/>
        <color rgb="FF7030A0"/>
        <name val="微软雅黑"/>
        <family val="2"/>
        <charset val="134"/>
        <scheme val="none"/>
      </font>
      <alignment horizontal="center" vertical="top" wrapText="1"/>
    </dxf>
  </rfmt>
  <rfmt sheetId="6" sqref="B16" start="0" length="0">
    <dxf>
      <font>
        <sz val="10"/>
        <color rgb="FF7030A0"/>
        <name val="微软雅黑"/>
        <family val="2"/>
        <charset val="134"/>
        <scheme val="none"/>
      </font>
      <alignment horizontal="center" vertical="top" wrapText="1"/>
    </dxf>
  </rfmt>
  <rfmt sheetId="6" sqref="A17" start="0" length="0">
    <dxf>
      <font>
        <sz val="10"/>
        <color rgb="FF7030A0"/>
        <name val="微软雅黑"/>
        <family val="2"/>
        <charset val="134"/>
        <scheme val="none"/>
      </font>
      <alignment horizontal="center" vertical="top" wrapText="1"/>
    </dxf>
  </rfmt>
  <rfmt sheetId="6" sqref="B17" start="0" length="0">
    <dxf>
      <font>
        <sz val="10"/>
        <color rgb="FF7030A0"/>
        <name val="微软雅黑"/>
        <family val="2"/>
        <charset val="134"/>
        <scheme val="none"/>
      </font>
      <alignment horizontal="center" vertical="top" wrapText="1"/>
      <border outline="0">
        <left/>
        <right/>
        <top/>
      </border>
    </dxf>
  </rfmt>
  <rfmt sheetId="6" sqref="A18" start="0" length="0">
    <dxf>
      <font>
        <sz val="10"/>
        <color rgb="FF7030A0"/>
        <name val="微软雅黑"/>
        <family val="2"/>
        <charset val="134"/>
        <scheme val="none"/>
      </font>
      <alignment horizontal="center" vertical="top" wrapText="1"/>
    </dxf>
  </rfmt>
  <rcc rId="474" sId="6" odxf="1" dxf="1">
    <nc r="B18" t="inlineStr">
      <is>
        <t>遮阳帘全关</t>
      </is>
    </nc>
    <ndxf>
      <alignment vertical="top"/>
      <border outline="0">
        <left/>
        <right/>
        <bottom/>
      </border>
    </ndxf>
  </rcc>
  <rcc rId="475" sId="6" odxf="1" dxf="1">
    <nc r="B4" t="inlineStr">
      <is>
        <t>天窗舒适</t>
        <phoneticPr fontId="0" type="noConversion"/>
      </is>
    </nc>
    <ndxf>
      <fill>
        <patternFill patternType="solid">
          <bgColor theme="4" tint="0.59999389629810485"/>
        </patternFill>
      </fill>
      <alignment vertical="center"/>
      <border outline="0">
        <left style="thin">
          <color indexed="64"/>
        </left>
        <right style="thin">
          <color indexed="64"/>
        </right>
        <top style="thin">
          <color indexed="64"/>
        </top>
        <bottom style="thin">
          <color indexed="64"/>
        </bottom>
      </border>
    </ndxf>
  </rcc>
  <rfmt sheetId="6" sqref="B5" start="0" length="0">
    <dxf>
      <fill>
        <patternFill patternType="solid">
          <bgColor theme="4" tint="0.59999389629810485"/>
        </patternFill>
      </fill>
      <alignment vertical="center"/>
      <border outline="0">
        <left style="thin">
          <color indexed="64"/>
        </left>
        <right style="thin">
          <color indexed="64"/>
        </right>
        <top style="thin">
          <color indexed="64"/>
        </top>
        <bottom style="thin">
          <color indexed="64"/>
        </bottom>
      </border>
    </dxf>
  </rfmt>
  <rfmt sheetId="6" sqref="B6" start="0" length="0">
    <dxf>
      <fill>
        <patternFill patternType="solid">
          <bgColor theme="4" tint="0.59999389629810485"/>
        </patternFill>
      </fill>
      <alignment vertical="center"/>
      <border outline="0">
        <left style="thin">
          <color indexed="64"/>
        </left>
        <right style="thin">
          <color indexed="64"/>
        </right>
        <top style="thin">
          <color indexed="64"/>
        </top>
        <bottom style="thin">
          <color indexed="64"/>
        </bottom>
      </border>
    </dxf>
  </rfmt>
  <rfmt sheetId="6" sqref="B7" start="0" length="0">
    <dxf>
      <fill>
        <patternFill patternType="solid">
          <bgColor theme="4" tint="0.59999389629810485"/>
        </patternFill>
      </fill>
      <alignment vertical="center"/>
      <border outline="0">
        <left style="thin">
          <color indexed="64"/>
        </left>
        <right style="thin">
          <color indexed="64"/>
        </right>
        <top style="thin">
          <color indexed="64"/>
        </top>
        <bottom style="thin">
          <color indexed="64"/>
        </bottom>
      </border>
    </dxf>
  </rfmt>
  <rfmt sheetId="6" sqref="A2:A10">
    <dxf>
      <fill>
        <patternFill patternType="solid">
          <bgColor theme="7" tint="0.79998168889431442"/>
        </patternFill>
      </fill>
    </dxf>
  </rfmt>
  <rfmt sheetId="6" sqref="A1" start="0" length="0">
    <dxf>
      <border>
        <left style="thin">
          <color indexed="64"/>
        </left>
        <right style="thin">
          <color indexed="64"/>
        </right>
        <top style="thin">
          <color indexed="64"/>
        </top>
        <bottom style="thin">
          <color indexed="64"/>
        </bottom>
      </border>
    </dxf>
  </rfmt>
  <rfmt sheetId="6" sqref="A2:A11" start="0" length="0">
    <dxf>
      <border>
        <left style="thin">
          <color indexed="64"/>
        </left>
      </border>
    </dxf>
  </rfmt>
  <rfmt sheetId="6" sqref="A2:A11" start="0" length="0">
    <dxf>
      <border>
        <right style="thin">
          <color indexed="64"/>
        </right>
      </border>
    </dxf>
  </rfmt>
  <rfmt sheetId="6" sqref="A11" start="0" length="0">
    <dxf>
      <border>
        <bottom style="thin">
          <color indexed="64"/>
        </bottom>
      </border>
    </dxf>
  </rfmt>
  <rfmt sheetId="6" sqref="A11">
    <dxf>
      <fill>
        <patternFill patternType="solid">
          <bgColor theme="7" tint="0.79998168889431442"/>
        </patternFill>
      </fill>
    </dxf>
  </rfmt>
  <rfmt sheetId="6" sqref="A12:A18">
    <dxf>
      <fill>
        <patternFill patternType="solid">
          <bgColor theme="3" tint="0.79998168889431442"/>
        </patternFill>
      </fill>
    </dxf>
  </rfmt>
  <rfmt sheetId="6" sqref="A12:A18" start="0" length="0">
    <dxf>
      <border>
        <left style="thin">
          <color indexed="64"/>
        </left>
      </border>
    </dxf>
  </rfmt>
  <rfmt sheetId="6" sqref="A12:A18" start="0" length="0">
    <dxf>
      <border>
        <right style="thin">
          <color indexed="64"/>
        </right>
      </border>
    </dxf>
  </rfmt>
  <rfmt sheetId="6" sqref="A18" start="0" length="0">
    <dxf>
      <border>
        <bottom style="thin">
          <color indexed="64"/>
        </bottom>
      </border>
    </dxf>
  </rfmt>
  <rfmt sheetId="6" sqref="B4:B7" start="0" length="0">
    <dxf>
      <border>
        <left/>
      </border>
    </dxf>
  </rfmt>
  <rfmt sheetId="6" sqref="B4" start="0" length="0">
    <dxf>
      <border>
        <top/>
      </border>
    </dxf>
  </rfmt>
  <rfmt sheetId="6" sqref="B4:B7" start="0" length="0">
    <dxf>
      <border>
        <right/>
      </border>
    </dxf>
  </rfmt>
  <rfmt sheetId="6" sqref="B7" start="0" length="0">
    <dxf>
      <border>
        <bottom/>
      </border>
    </dxf>
  </rfmt>
  <rfmt sheetId="6" sqref="B4:B7">
    <dxf>
      <border>
        <top/>
        <bottom/>
        <horizontal/>
      </border>
    </dxf>
  </rfmt>
  <rfmt sheetId="6" sqref="B3" start="0" length="0">
    <dxf>
      <border>
        <bottom style="thin">
          <color indexed="64"/>
        </bottom>
      </border>
    </dxf>
  </rfmt>
  <rfmt sheetId="6" sqref="B4:B7" start="0" length="0">
    <dxf>
      <border>
        <left style="thin">
          <color indexed="64"/>
        </left>
      </border>
    </dxf>
  </rfmt>
  <rfmt sheetId="6" sqref="B4:B7" start="0" length="0">
    <dxf>
      <border>
        <right style="thin">
          <color indexed="64"/>
        </right>
      </border>
    </dxf>
  </rfmt>
  <rfmt sheetId="6" sqref="B7" start="0" length="0">
    <dxf>
      <border>
        <bottom style="thin">
          <color indexed="64"/>
        </bottom>
      </border>
    </dxf>
  </rfmt>
  <rfmt sheetId="6" sqref="B8" start="0" length="0">
    <dxf>
      <border>
        <left style="thin">
          <color indexed="64"/>
        </left>
        <right style="thin">
          <color indexed="64"/>
        </right>
        <top style="thin">
          <color indexed="64"/>
        </top>
        <bottom style="thin">
          <color indexed="64"/>
        </bottom>
      </border>
    </dxf>
  </rfmt>
  <rfmt sheetId="6" sqref="B11" start="0" length="0">
    <dxf>
      <border>
        <bottom style="thin">
          <color indexed="64"/>
        </bottom>
      </border>
    </dxf>
  </rfmt>
  <rfmt sheetId="6" sqref="B12" start="0" length="0">
    <dxf>
      <border>
        <left style="thin">
          <color indexed="64"/>
        </left>
        <right style="thin">
          <color indexed="64"/>
        </right>
        <top style="thin">
          <color indexed="64"/>
        </top>
        <bottom style="thin">
          <color indexed="64"/>
        </bottom>
      </border>
    </dxf>
  </rfmt>
  <rfmt sheetId="6" sqref="B16" start="0" length="0">
    <dxf>
      <border>
        <bottom style="thin">
          <color indexed="64"/>
        </bottom>
      </border>
    </dxf>
  </rfmt>
  <rfmt sheetId="6" sqref="B17:B18" start="0" length="0">
    <dxf>
      <border>
        <right style="thin">
          <color indexed="64"/>
        </right>
      </border>
    </dxf>
  </rfmt>
  <rfmt sheetId="6" sqref="B18" start="0" length="0">
    <dxf>
      <border>
        <bottom style="thin">
          <color indexed="64"/>
        </bottom>
      </border>
    </dxf>
  </rfmt>
  <rfmt sheetId="6" sqref="B13:B16">
    <dxf>
      <fill>
        <patternFill patternType="solid">
          <bgColor theme="4" tint="0.59999389629810485"/>
        </patternFill>
      </fill>
    </dxf>
  </rfmt>
  <rcv guid="{D28585A0-5D39-432E-81ED-6A20A7471F73}" action="delete"/>
  <rdn rId="0" localSheetId="1" customView="1" name="Z_D28585A0_5D39_432E_81ED_6A20A7471F73_.wvu.PrintArea" hidden="1" oldHidden="1">
    <formula>'DureOS-LIN'!$A$2:$AN$233</formula>
    <oldFormula>'DureOS-LIN'!$A$2:$AN$233</oldFormula>
  </rdn>
  <rdn rId="0" localSheetId="1" customView="1" name="Z_D28585A0_5D39_432E_81ED_6A20A7471F73_.wvu.Cols" hidden="1" oldHidden="1">
    <formula>'DureOS-LIN'!$I:$V</formula>
    <oldFormula>'DureOS-LIN'!$I:$V</oldFormula>
  </rdn>
  <rdn rId="0" localSheetId="1" customView="1" name="Z_D28585A0_5D39_432E_81ED_6A20A7471F73_.wvu.FilterData" hidden="1" oldHidden="1">
    <formula>'DureOS-LIN'!$A$2:$HK$304</formula>
    <oldFormula>'DureOS-LIN'!$A$2:$HK$304</oldFormula>
  </rdn>
  <rdn rId="0" localSheetId="4" customView="1" name="Z_D28585A0_5D39_432E_81ED_6A20A7471F73_.wvu.Cols" hidden="1" oldHidden="1">
    <formula>'语音-LIN_map'!$F:$G</formula>
    <oldFormula>'语音-LIN_map'!$F:$G</oldFormula>
  </rdn>
  <rdn rId="0" localSheetId="6" customView="1" name="Z_D28585A0_5D39_432E_81ED_6A20A7471F73_.wvu.Cols" hidden="1" oldHidden="1">
    <formula>语音_LINmap!$F:$G</formula>
    <oldFormula>语音_LINmap!$F:$G</oldFormula>
  </rdn>
  <rcv guid="{D28585A0-5D39-432E-81ED-6A20A7471F73}" action="add"/>
  <rsnm rId="481" sheetId="6" oldName="[LIN _Matrix_CISM_v0.11_20201023.xlsm]Sheet1" newName="[LIN _Matrix_CISM_v0.11_20201023.xlsm]语音_LINmap"/>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3" sId="1">
    <oc r="W5" t="inlineStr">
      <is>
        <r>
          <t xml:space="preserve">0x00:no action
</t>
        </r>
        <r>
          <rPr>
            <sz val="10"/>
            <color theme="9" tint="-0.249977111117893"/>
            <rFont val="Arial"/>
            <family val="2"/>
          </rPr>
          <t>0x01:10%
0x02:20%
0x03:30%
0x04:40%
0x05:50%</t>
        </r>
        <r>
          <rPr>
            <sz val="10"/>
            <rFont val="Arial"/>
            <family val="2"/>
          </rPr>
          <t xml:space="preserve">
</t>
        </r>
        <r>
          <rPr>
            <sz val="10"/>
            <color theme="9" tint="-0.249977111117893"/>
            <rFont val="Arial"/>
            <family val="2"/>
          </rPr>
          <t>0x06:60%
0x07:70%
0x08:80%
0x09:90%</t>
        </r>
        <r>
          <rPr>
            <strike/>
            <sz val="10"/>
            <rFont val="Arial"/>
            <family val="2"/>
          </rPr>
          <t xml:space="preserve">
</t>
        </r>
        <r>
          <rPr>
            <sz val="10"/>
            <rFont val="Arial"/>
            <family val="2"/>
          </rPr>
          <t xml:space="preserve">0x0a:Fully open
0x0b:Fully close
</t>
        </r>
        <r>
          <rPr>
            <b/>
            <sz val="10"/>
            <color rgb="FFFF0000"/>
            <rFont val="Arial"/>
            <family val="2"/>
          </rPr>
          <t>0x0c:mid</t>
        </r>
        <r>
          <rPr>
            <sz val="10"/>
            <rFont val="Arial"/>
            <family val="2"/>
          </rPr>
          <t xml:space="preserve">
</t>
        </r>
        <r>
          <rPr>
            <sz val="10"/>
            <color theme="9" tint="-0.249977111117893"/>
            <rFont val="Arial"/>
            <family val="2"/>
          </rPr>
          <t>0x0d: +10%
0x0e: -10%</t>
        </r>
      </is>
    </oc>
    <nc r="W5" t="inlineStr">
      <is>
        <r>
          <t xml:space="preserve">0x00:no action
</t>
        </r>
        <r>
          <rPr>
            <sz val="10"/>
            <color theme="9" tint="-0.249977111117893"/>
            <rFont val="Arial"/>
            <family val="2"/>
          </rPr>
          <t>0x01:10%
0x02:20%
0x03:30%
0x04:40%
0x05:50%</t>
        </r>
        <r>
          <rPr>
            <sz val="10"/>
            <rFont val="Arial"/>
            <family val="2"/>
          </rPr>
          <t xml:space="preserve">
</t>
        </r>
        <r>
          <rPr>
            <sz val="10"/>
            <color theme="9" tint="-0.249977111117893"/>
            <rFont val="Arial"/>
            <family val="2"/>
          </rPr>
          <t>0x06:60%
0x07:70%
0x08:80%
0x09:90%</t>
        </r>
        <r>
          <rPr>
            <strike/>
            <sz val="10"/>
            <rFont val="Arial"/>
            <family val="2"/>
          </rPr>
          <t xml:space="preserve">
</t>
        </r>
        <r>
          <rPr>
            <sz val="10"/>
            <rFont val="Arial"/>
            <family val="2"/>
          </rPr>
          <t xml:space="preserve">0x0a:Fully open
0x0b:Fully close
</t>
        </r>
        <r>
          <rPr>
            <b/>
            <sz val="10"/>
            <color rgb="FFFF0000"/>
            <rFont val="Arial"/>
            <family val="2"/>
          </rPr>
          <t>0x0c:mid</t>
        </r>
        <r>
          <rPr>
            <sz val="10"/>
            <rFont val="Arial"/>
            <family val="2"/>
          </rPr>
          <t xml:space="preserve">
</t>
        </r>
        <r>
          <rPr>
            <sz val="10"/>
            <color theme="9" tint="-0.249977111117893"/>
            <rFont val="Arial"/>
            <family val="2"/>
          </rPr>
          <t>0x0d: +10%
0x0e: -10%</t>
        </r>
        <phoneticPr fontId="4" type="noConversion"/>
      </is>
    </nc>
  </rcc>
  <rcc rId="294" sId="1">
    <oc r="W4" t="inlineStr">
      <is>
        <r>
          <t xml:space="preserve">0x00:no action
</t>
        </r>
        <r>
          <rPr>
            <sz val="10"/>
            <color theme="9" tint="-0.249977111117893"/>
            <rFont val="Arial"/>
            <family val="2"/>
          </rPr>
          <t>0x01:10%
0x02:20%
0x03:30%
0x04:40%</t>
        </r>
        <r>
          <rPr>
            <strike/>
            <sz val="10"/>
            <color theme="9" tint="-0.249977111117893"/>
            <rFont val="Arial"/>
            <family val="2"/>
          </rPr>
          <t xml:space="preserve">
</t>
        </r>
        <r>
          <rPr>
            <sz val="10"/>
            <color theme="9" tint="-0.249977111117893"/>
            <rFont val="Arial"/>
            <family val="2"/>
          </rPr>
          <t>0x05:50%
0x06:60%
0x07:70%
0x08:80%
0x09:90%</t>
        </r>
        <r>
          <rPr>
            <strike/>
            <sz val="10"/>
            <rFont val="Arial"/>
            <family val="2"/>
          </rPr>
          <t xml:space="preserve">
</t>
        </r>
        <r>
          <rPr>
            <sz val="10"/>
            <rFont val="Arial"/>
            <family val="2"/>
          </rPr>
          <t xml:space="preserve">0x0a:Fully open
0x0b:Fully close
0x0c:tilt up
</t>
        </r>
        <r>
          <rPr>
            <b/>
            <sz val="10"/>
            <color rgb="FFFF0000"/>
            <rFont val="Arial"/>
            <family val="2"/>
          </rPr>
          <t>0x0d:comfort</t>
        </r>
        <r>
          <rPr>
            <sz val="10"/>
            <rFont val="Arial"/>
            <family val="2"/>
          </rPr>
          <t xml:space="preserve">
</t>
        </r>
        <r>
          <rPr>
            <sz val="10"/>
            <color theme="9" tint="-0.249977111117893"/>
            <rFont val="Arial"/>
            <family val="2"/>
          </rPr>
          <t xml:space="preserve">0x0e:+10%
</t>
        </r>
        <r>
          <rPr>
            <b/>
            <sz val="10"/>
            <color theme="9" tint="-0.249977111117893"/>
            <rFont val="Arial"/>
            <family val="2"/>
          </rPr>
          <t>0x0f: -10%</t>
        </r>
        <phoneticPr fontId="6" type="noConversion"/>
      </is>
    </oc>
    <nc r="W4" t="inlineStr">
      <is>
        <r>
          <t xml:space="preserve">0x00:no action
</t>
        </r>
        <r>
          <rPr>
            <sz val="10"/>
            <color theme="9" tint="-0.249977111117893"/>
            <rFont val="Arial"/>
            <family val="2"/>
          </rPr>
          <t>0x01:10%
0x02:20%
0x03:30%
0x04:40%</t>
        </r>
        <r>
          <rPr>
            <strike/>
            <sz val="10"/>
            <color theme="9" tint="-0.249977111117893"/>
            <rFont val="Arial"/>
            <family val="2"/>
          </rPr>
          <t xml:space="preserve">
</t>
        </r>
        <r>
          <rPr>
            <sz val="10"/>
            <color theme="9" tint="-0.249977111117893"/>
            <rFont val="Arial"/>
            <family val="2"/>
          </rPr>
          <t>0x05:50%
0x06:60%
0x07:70%
0x08:80%
0x09:90%</t>
        </r>
        <r>
          <rPr>
            <strike/>
            <sz val="10"/>
            <rFont val="Arial"/>
            <family val="2"/>
          </rPr>
          <t xml:space="preserve">
</t>
        </r>
        <r>
          <rPr>
            <sz val="10"/>
            <rFont val="Arial"/>
            <family val="2"/>
          </rPr>
          <t xml:space="preserve">0x0a:Fully open
0x0b:Fully close
0x0c:tilt up
</t>
        </r>
        <r>
          <rPr>
            <b/>
            <sz val="10"/>
            <color rgb="FFFF0000"/>
            <rFont val="Arial"/>
            <family val="2"/>
          </rPr>
          <t>0x0d:comfort</t>
        </r>
        <r>
          <rPr>
            <sz val="10"/>
            <rFont val="Arial"/>
            <family val="2"/>
          </rPr>
          <t xml:space="preserve">
</t>
        </r>
        <r>
          <rPr>
            <sz val="10"/>
            <color theme="9" tint="-0.249977111117893"/>
            <rFont val="Arial"/>
            <family val="2"/>
          </rPr>
          <t xml:space="preserve">0x0e:+10%
</t>
        </r>
        <r>
          <rPr>
            <b/>
            <sz val="10"/>
            <color theme="9" tint="-0.249977111117893"/>
            <rFont val="Arial"/>
            <family val="2"/>
          </rPr>
          <t>0x0f: -10%</t>
        </r>
        <phoneticPr fontId="6" type="noConversion"/>
      </is>
    </nc>
  </rcc>
</revisions>
</file>

<file path=xl/revisions/userNames1.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outlinePr summaryBelow="0"/>
  </sheetPr>
  <dimension ref="A1:AA32"/>
  <sheetViews>
    <sheetView zoomScale="115" zoomScaleNormal="115" workbookViewId="0">
      <pane xSplit="4" ySplit="2" topLeftCell="E3" activePane="bottomRight" state="frozen"/>
      <selection pane="topRight" activeCell="E1" sqref="E1"/>
      <selection pane="bottomLeft" activeCell="A3" sqref="A3"/>
      <selection pane="bottomRight" activeCell="X4" sqref="X4"/>
    </sheetView>
  </sheetViews>
  <sheetFormatPr defaultColWidth="9.140625" defaultRowHeight="33" customHeight="1"/>
  <cols>
    <col min="1" max="1" width="6.7109375" style="7" customWidth="1"/>
    <col min="2" max="2" width="14.85546875" style="7" customWidth="1"/>
    <col min="3" max="3" width="14.140625" style="7" customWidth="1"/>
    <col min="4" max="4" width="24.85546875" style="11" customWidth="1"/>
    <col min="5" max="5" width="20.85546875" style="11" customWidth="1"/>
    <col min="6" max="6" width="11.7109375" style="7" customWidth="1"/>
    <col min="7" max="7" width="13.28515625" style="7" customWidth="1"/>
    <col min="8" max="8" width="8.42578125" style="7" customWidth="1"/>
    <col min="9" max="9" width="6.140625" style="7" hidden="1" customWidth="1"/>
    <col min="10" max="11" width="11.28515625" style="7" hidden="1" customWidth="1"/>
    <col min="12" max="12" width="7.42578125" style="7" hidden="1" customWidth="1"/>
    <col min="13" max="13" width="10.42578125" style="7" hidden="1" customWidth="1"/>
    <col min="14" max="14" width="15.42578125" style="7" hidden="1" customWidth="1"/>
    <col min="15" max="15" width="14.85546875" style="7" hidden="1" customWidth="1"/>
    <col min="16" max="16" width="7.7109375" style="7" hidden="1" customWidth="1"/>
    <col min="17" max="17" width="14.5703125" style="7" hidden="1" customWidth="1"/>
    <col min="18" max="18" width="14.7109375" style="7" hidden="1" customWidth="1"/>
    <col min="19" max="19" width="8.5703125" style="7" hidden="1" customWidth="1"/>
    <col min="20" max="20" width="11.140625" style="7" hidden="1" customWidth="1"/>
    <col min="21" max="21" width="10.7109375" style="7" hidden="1" customWidth="1"/>
    <col min="22" max="22" width="10.42578125" style="7" hidden="1" customWidth="1"/>
    <col min="23" max="23" width="19.42578125" style="53" customWidth="1"/>
    <col min="24" max="24" width="27" style="11" customWidth="1"/>
    <col min="25" max="26" width="5.7109375" style="7" customWidth="1"/>
    <col min="27" max="16384" width="9.140625" style="7"/>
  </cols>
  <sheetData>
    <row r="1" spans="1:27" ht="12" customHeight="1">
      <c r="A1" s="104" t="s">
        <v>0</v>
      </c>
      <c r="B1" s="102" t="s">
        <v>8</v>
      </c>
      <c r="C1" s="102" t="s">
        <v>7</v>
      </c>
      <c r="D1" s="104" t="s">
        <v>1</v>
      </c>
      <c r="E1" s="104" t="s">
        <v>2</v>
      </c>
      <c r="F1" s="104" t="s">
        <v>16</v>
      </c>
      <c r="G1" s="102" t="s">
        <v>3</v>
      </c>
      <c r="H1" s="102" t="s">
        <v>12</v>
      </c>
      <c r="I1" s="102" t="s">
        <v>96</v>
      </c>
      <c r="J1" s="102" t="s">
        <v>14</v>
      </c>
      <c r="K1" s="102" t="s">
        <v>13</v>
      </c>
      <c r="L1" s="102" t="s">
        <v>19</v>
      </c>
      <c r="M1" s="102" t="s">
        <v>4</v>
      </c>
      <c r="N1" s="102" t="s">
        <v>17</v>
      </c>
      <c r="O1" s="102" t="s">
        <v>18</v>
      </c>
      <c r="P1" s="102" t="s">
        <v>94</v>
      </c>
      <c r="Q1" s="102" t="s">
        <v>20</v>
      </c>
      <c r="R1" s="102" t="s">
        <v>21</v>
      </c>
      <c r="S1" s="102" t="s">
        <v>9</v>
      </c>
      <c r="T1" s="102" t="s">
        <v>10</v>
      </c>
      <c r="U1" s="102" t="s">
        <v>11</v>
      </c>
      <c r="V1" s="102" t="s">
        <v>22</v>
      </c>
      <c r="W1" s="102" t="s">
        <v>15</v>
      </c>
      <c r="X1" s="104" t="s">
        <v>5</v>
      </c>
      <c r="Y1" s="104" t="s">
        <v>6</v>
      </c>
      <c r="Z1" s="104"/>
    </row>
    <row r="2" spans="1:27" ht="10.5" customHeight="1">
      <c r="A2" s="105"/>
      <c r="B2" s="103"/>
      <c r="C2" s="103"/>
      <c r="D2" s="105"/>
      <c r="E2" s="105"/>
      <c r="F2" s="105"/>
      <c r="G2" s="103"/>
      <c r="H2" s="103"/>
      <c r="I2" s="103"/>
      <c r="J2" s="103"/>
      <c r="K2" s="103"/>
      <c r="L2" s="103"/>
      <c r="M2" s="103"/>
      <c r="N2" s="103"/>
      <c r="O2" s="103"/>
      <c r="P2" s="103"/>
      <c r="Q2" s="103"/>
      <c r="R2" s="103"/>
      <c r="S2" s="103"/>
      <c r="T2" s="103"/>
      <c r="U2" s="103"/>
      <c r="V2" s="103"/>
      <c r="W2" s="103"/>
      <c r="X2" s="105"/>
      <c r="Y2" s="12" t="s">
        <v>95</v>
      </c>
      <c r="Z2" s="12" t="s">
        <v>25</v>
      </c>
    </row>
    <row r="3" spans="1:27" s="5" customFormat="1" ht="12" customHeight="1">
      <c r="A3" s="106" t="s">
        <v>100</v>
      </c>
      <c r="B3" s="107"/>
      <c r="C3" s="107"/>
      <c r="D3" s="107"/>
      <c r="E3" s="107"/>
      <c r="F3" s="107"/>
      <c r="G3" s="107"/>
      <c r="H3" s="107"/>
      <c r="I3" s="107"/>
      <c r="J3" s="107"/>
      <c r="K3" s="107"/>
      <c r="L3" s="107"/>
      <c r="M3" s="107"/>
      <c r="N3" s="107"/>
      <c r="O3" s="107"/>
      <c r="P3" s="107"/>
      <c r="Q3" s="107"/>
      <c r="R3" s="107"/>
      <c r="S3" s="107"/>
      <c r="T3" s="107"/>
      <c r="U3" s="107"/>
      <c r="V3" s="107"/>
      <c r="W3" s="107"/>
      <c r="X3" s="107"/>
      <c r="Y3" s="107"/>
      <c r="Z3" s="108"/>
    </row>
    <row r="4" spans="1:27" s="5" customFormat="1" ht="212.25" customHeight="1">
      <c r="A4" s="1">
        <v>1</v>
      </c>
      <c r="B4" s="31" t="s">
        <v>98</v>
      </c>
      <c r="C4" s="30" t="s">
        <v>89</v>
      </c>
      <c r="D4" s="48" t="s">
        <v>211</v>
      </c>
      <c r="E4" s="41" t="s">
        <v>75</v>
      </c>
      <c r="F4" s="2" t="s">
        <v>30</v>
      </c>
      <c r="G4" s="13" t="s">
        <v>101</v>
      </c>
      <c r="H4" s="50" t="s">
        <v>153</v>
      </c>
      <c r="I4" s="8">
        <v>8</v>
      </c>
      <c r="J4" s="10">
        <v>0</v>
      </c>
      <c r="K4" s="10">
        <v>3</v>
      </c>
      <c r="L4" s="10">
        <v>4</v>
      </c>
      <c r="M4" s="4" t="s">
        <v>23</v>
      </c>
      <c r="N4" s="14" t="s">
        <v>76</v>
      </c>
      <c r="O4" s="4" t="s">
        <v>68</v>
      </c>
      <c r="P4" s="15" t="s">
        <v>69</v>
      </c>
      <c r="Q4" s="15" t="s">
        <v>69</v>
      </c>
      <c r="R4" s="15">
        <v>1</v>
      </c>
      <c r="S4" s="15">
        <v>0</v>
      </c>
      <c r="T4" s="15">
        <v>0</v>
      </c>
      <c r="U4" s="15">
        <v>15</v>
      </c>
      <c r="V4" s="15" t="s">
        <v>28</v>
      </c>
      <c r="W4" s="68" t="s">
        <v>262</v>
      </c>
      <c r="X4" s="45"/>
      <c r="Y4" s="9"/>
      <c r="Z4" s="9" t="s">
        <v>70</v>
      </c>
      <c r="AA4" s="16"/>
    </row>
    <row r="5" spans="1:27" s="5" customFormat="1" ht="207" customHeight="1">
      <c r="A5" s="1">
        <v>2</v>
      </c>
      <c r="B5" s="31" t="s">
        <v>98</v>
      </c>
      <c r="C5" s="30" t="s">
        <v>99</v>
      </c>
      <c r="D5" s="48" t="s">
        <v>212</v>
      </c>
      <c r="E5" s="41" t="s">
        <v>77</v>
      </c>
      <c r="F5" s="2" t="s">
        <v>78</v>
      </c>
      <c r="G5" s="13" t="s">
        <v>101</v>
      </c>
      <c r="H5" s="50" t="s">
        <v>153</v>
      </c>
      <c r="I5" s="8">
        <v>8</v>
      </c>
      <c r="J5" s="10">
        <v>4</v>
      </c>
      <c r="K5" s="10">
        <v>7</v>
      </c>
      <c r="L5" s="10">
        <v>4</v>
      </c>
      <c r="M5" s="4" t="s">
        <v>23</v>
      </c>
      <c r="N5" s="14" t="s">
        <v>79</v>
      </c>
      <c r="O5" s="4" t="s">
        <v>68</v>
      </c>
      <c r="P5" s="15" t="s">
        <v>69</v>
      </c>
      <c r="Q5" s="15" t="s">
        <v>69</v>
      </c>
      <c r="R5" s="15">
        <v>1</v>
      </c>
      <c r="S5" s="15">
        <v>0</v>
      </c>
      <c r="T5" s="15">
        <v>0</v>
      </c>
      <c r="U5" s="15">
        <v>15</v>
      </c>
      <c r="V5" s="15" t="s">
        <v>80</v>
      </c>
      <c r="W5" s="68" t="s">
        <v>261</v>
      </c>
      <c r="X5" s="2" t="s">
        <v>72</v>
      </c>
      <c r="Y5" s="9"/>
      <c r="Z5" s="9" t="s">
        <v>70</v>
      </c>
    </row>
    <row r="6" spans="1:27" s="5" customFormat="1" ht="15" customHeight="1">
      <c r="A6" s="109" t="s">
        <v>239</v>
      </c>
      <c r="B6" s="110"/>
      <c r="C6" s="110"/>
      <c r="D6" s="110"/>
      <c r="E6" s="110"/>
      <c r="F6" s="110"/>
      <c r="G6" s="110"/>
      <c r="H6" s="110"/>
      <c r="I6" s="110"/>
      <c r="J6" s="110"/>
      <c r="K6" s="110"/>
      <c r="L6" s="110"/>
      <c r="M6" s="110"/>
      <c r="N6" s="110"/>
      <c r="O6" s="110"/>
      <c r="P6" s="110"/>
      <c r="Q6" s="110"/>
      <c r="R6" s="110"/>
      <c r="S6" s="110"/>
      <c r="T6" s="110"/>
      <c r="U6" s="110"/>
      <c r="V6" s="110"/>
      <c r="W6" s="110"/>
      <c r="X6" s="110"/>
      <c r="Y6" s="110"/>
      <c r="Z6" s="111"/>
    </row>
    <row r="7" spans="1:27" s="5" customFormat="1" ht="31.5" customHeight="1">
      <c r="A7" s="54">
        <v>3</v>
      </c>
      <c r="B7" s="13" t="s">
        <v>67</v>
      </c>
      <c r="C7" s="30" t="s">
        <v>97</v>
      </c>
      <c r="D7" s="72" t="s">
        <v>249</v>
      </c>
      <c r="E7" s="57" t="s">
        <v>162</v>
      </c>
      <c r="F7" s="55"/>
      <c r="G7" s="13" t="s">
        <v>158</v>
      </c>
      <c r="H7" s="51" t="s">
        <v>155</v>
      </c>
      <c r="I7" s="8">
        <v>1</v>
      </c>
      <c r="J7" s="9">
        <v>0</v>
      </c>
      <c r="K7" s="9">
        <v>0</v>
      </c>
      <c r="L7" s="9">
        <v>1</v>
      </c>
      <c r="M7" s="4"/>
      <c r="N7" s="14"/>
      <c r="O7" s="4" t="s">
        <v>27</v>
      </c>
      <c r="P7" s="15" t="s">
        <v>69</v>
      </c>
      <c r="Q7" s="15" t="s">
        <v>31</v>
      </c>
      <c r="R7" s="15">
        <v>1</v>
      </c>
      <c r="S7" s="15">
        <v>0</v>
      </c>
      <c r="T7" s="15">
        <v>0</v>
      </c>
      <c r="U7" s="15">
        <v>1</v>
      </c>
      <c r="V7" s="15" t="s">
        <v>28</v>
      </c>
      <c r="W7" s="44" t="s">
        <v>248</v>
      </c>
      <c r="X7" s="55"/>
      <c r="Y7" s="55"/>
      <c r="Z7" s="55"/>
    </row>
    <row r="8" spans="1:27" s="5" customFormat="1" ht="35.25" customHeight="1">
      <c r="A8" s="54">
        <v>4</v>
      </c>
      <c r="B8" s="13" t="s">
        <v>67</v>
      </c>
      <c r="C8" s="30" t="s">
        <v>97</v>
      </c>
      <c r="D8" s="72" t="s">
        <v>250</v>
      </c>
      <c r="E8" s="57" t="s">
        <v>163</v>
      </c>
      <c r="F8" s="55"/>
      <c r="G8" s="13" t="s">
        <v>158</v>
      </c>
      <c r="H8" s="51" t="s">
        <v>155</v>
      </c>
      <c r="I8" s="8">
        <v>1</v>
      </c>
      <c r="J8" s="9">
        <f>K7+1</f>
        <v>1</v>
      </c>
      <c r="K8" s="9">
        <f>J8+I8-1</f>
        <v>1</v>
      </c>
      <c r="L8" s="9">
        <v>1</v>
      </c>
      <c r="M8" s="4"/>
      <c r="N8" s="14"/>
      <c r="O8" s="4" t="s">
        <v>27</v>
      </c>
      <c r="P8" s="15" t="s">
        <v>69</v>
      </c>
      <c r="Q8" s="15" t="s">
        <v>31</v>
      </c>
      <c r="R8" s="15">
        <v>1</v>
      </c>
      <c r="S8" s="15">
        <v>0</v>
      </c>
      <c r="T8" s="15">
        <v>0</v>
      </c>
      <c r="U8" s="15">
        <v>1</v>
      </c>
      <c r="V8" s="15" t="s">
        <v>28</v>
      </c>
      <c r="W8" s="44" t="s">
        <v>247</v>
      </c>
      <c r="X8" s="55"/>
      <c r="Y8" s="55"/>
      <c r="Z8" s="55"/>
    </row>
    <row r="9" spans="1:27" s="5" customFormat="1" ht="26.25" customHeight="1">
      <c r="A9" s="54">
        <v>5</v>
      </c>
      <c r="B9" s="13" t="s">
        <v>67</v>
      </c>
      <c r="C9" s="30" t="s">
        <v>97</v>
      </c>
      <c r="D9" s="72" t="s">
        <v>251</v>
      </c>
      <c r="E9" s="57" t="s">
        <v>164</v>
      </c>
      <c r="F9" s="55"/>
      <c r="G9" s="13" t="s">
        <v>103</v>
      </c>
      <c r="H9" s="51" t="s">
        <v>155</v>
      </c>
      <c r="I9" s="8">
        <v>1</v>
      </c>
      <c r="J9" s="9">
        <f>K8+1</f>
        <v>2</v>
      </c>
      <c r="K9" s="9">
        <f t="shared" ref="K9:K32" si="0">J9+I9-1</f>
        <v>2</v>
      </c>
      <c r="L9" s="9">
        <v>1</v>
      </c>
      <c r="M9" s="4"/>
      <c r="N9" s="14"/>
      <c r="O9" s="4" t="s">
        <v>27</v>
      </c>
      <c r="P9" s="15" t="s">
        <v>69</v>
      </c>
      <c r="Q9" s="15" t="s">
        <v>31</v>
      </c>
      <c r="R9" s="15">
        <v>1</v>
      </c>
      <c r="S9" s="15">
        <v>0</v>
      </c>
      <c r="T9" s="15">
        <v>0</v>
      </c>
      <c r="U9" s="15">
        <v>1</v>
      </c>
      <c r="V9" s="15" t="s">
        <v>28</v>
      </c>
      <c r="W9" s="44" t="s">
        <v>248</v>
      </c>
      <c r="X9" s="55"/>
      <c r="Y9" s="55"/>
      <c r="Z9" s="55"/>
    </row>
    <row r="10" spans="1:27" s="5" customFormat="1" ht="32.25" customHeight="1">
      <c r="A10" s="54">
        <v>6</v>
      </c>
      <c r="B10" s="13" t="s">
        <v>67</v>
      </c>
      <c r="C10" s="30" t="s">
        <v>97</v>
      </c>
      <c r="D10" s="72" t="s">
        <v>252</v>
      </c>
      <c r="E10" s="57" t="s">
        <v>165</v>
      </c>
      <c r="F10" s="55"/>
      <c r="G10" s="13" t="s">
        <v>103</v>
      </c>
      <c r="H10" s="51" t="s">
        <v>155</v>
      </c>
      <c r="I10" s="8">
        <v>1</v>
      </c>
      <c r="J10" s="9">
        <f>K9+1</f>
        <v>3</v>
      </c>
      <c r="K10" s="9">
        <f t="shared" si="0"/>
        <v>3</v>
      </c>
      <c r="L10" s="9">
        <v>1</v>
      </c>
      <c r="M10" s="4"/>
      <c r="N10" s="14"/>
      <c r="O10" s="4" t="s">
        <v>27</v>
      </c>
      <c r="P10" s="15" t="s">
        <v>69</v>
      </c>
      <c r="Q10" s="15" t="s">
        <v>31</v>
      </c>
      <c r="R10" s="15">
        <v>1</v>
      </c>
      <c r="S10" s="15">
        <v>0</v>
      </c>
      <c r="T10" s="15">
        <v>0</v>
      </c>
      <c r="U10" s="15">
        <v>1</v>
      </c>
      <c r="V10" s="15" t="s">
        <v>28</v>
      </c>
      <c r="W10" s="44" t="s">
        <v>247</v>
      </c>
      <c r="X10" s="55"/>
      <c r="Y10" s="55"/>
      <c r="Z10" s="55"/>
    </row>
    <row r="11" spans="1:27" s="5" customFormat="1" ht="15" customHeight="1">
      <c r="A11" s="54">
        <v>7</v>
      </c>
      <c r="B11" s="13" t="s">
        <v>67</v>
      </c>
      <c r="C11" s="30" t="s">
        <v>97</v>
      </c>
      <c r="D11" s="47" t="s">
        <v>166</v>
      </c>
      <c r="E11" s="56" t="s">
        <v>159</v>
      </c>
      <c r="F11" s="55"/>
      <c r="G11" s="13" t="s">
        <v>103</v>
      </c>
      <c r="H11" s="51" t="s">
        <v>155</v>
      </c>
      <c r="I11" s="8">
        <v>1</v>
      </c>
      <c r="J11" s="9">
        <f t="shared" ref="J11:J32" si="1">K10+1</f>
        <v>4</v>
      </c>
      <c r="K11" s="9">
        <f t="shared" si="0"/>
        <v>4</v>
      </c>
      <c r="L11" s="9">
        <v>1</v>
      </c>
      <c r="M11" s="4"/>
      <c r="N11" s="14"/>
      <c r="O11" s="4" t="s">
        <v>27</v>
      </c>
      <c r="P11" s="15" t="s">
        <v>69</v>
      </c>
      <c r="Q11" s="15" t="s">
        <v>31</v>
      </c>
      <c r="R11" s="15">
        <v>1</v>
      </c>
      <c r="S11" s="15">
        <v>0</v>
      </c>
      <c r="T11" s="15">
        <v>0</v>
      </c>
      <c r="U11" s="15">
        <v>1</v>
      </c>
      <c r="V11" s="15" t="s">
        <v>28</v>
      </c>
      <c r="W11" s="44" t="s">
        <v>161</v>
      </c>
      <c r="X11" s="55"/>
      <c r="Y11" s="55"/>
      <c r="Z11" s="55"/>
    </row>
    <row r="12" spans="1:27" s="5" customFormat="1" ht="14.25" customHeight="1">
      <c r="A12" s="54">
        <v>8</v>
      </c>
      <c r="B12" s="13" t="s">
        <v>67</v>
      </c>
      <c r="C12" s="30" t="s">
        <v>97</v>
      </c>
      <c r="D12" s="47" t="s">
        <v>157</v>
      </c>
      <c r="E12" s="47" t="s">
        <v>160</v>
      </c>
      <c r="F12" s="55"/>
      <c r="G12" s="13" t="s">
        <v>103</v>
      </c>
      <c r="H12" s="51" t="s">
        <v>155</v>
      </c>
      <c r="I12" s="8">
        <v>3</v>
      </c>
      <c r="J12" s="9">
        <f t="shared" si="1"/>
        <v>5</v>
      </c>
      <c r="K12" s="9">
        <f t="shared" si="0"/>
        <v>7</v>
      </c>
      <c r="L12" s="9">
        <v>3</v>
      </c>
      <c r="M12" s="4"/>
      <c r="N12" s="14"/>
      <c r="O12" s="4" t="s">
        <v>27</v>
      </c>
      <c r="P12" s="15" t="s">
        <v>69</v>
      </c>
      <c r="Q12" s="15" t="s">
        <v>31</v>
      </c>
      <c r="R12" s="15">
        <v>1</v>
      </c>
      <c r="S12" s="15">
        <v>0</v>
      </c>
      <c r="T12" s="15">
        <v>0</v>
      </c>
      <c r="U12" s="15">
        <v>7</v>
      </c>
      <c r="V12" s="15" t="s">
        <v>28</v>
      </c>
      <c r="W12" s="44" t="s">
        <v>245</v>
      </c>
      <c r="X12" s="55"/>
      <c r="Y12" s="55"/>
      <c r="Z12" s="55"/>
    </row>
    <row r="13" spans="1:27" s="5" customFormat="1" ht="36.75" customHeight="1">
      <c r="A13" s="54">
        <v>9</v>
      </c>
      <c r="B13" s="13" t="s">
        <v>67</v>
      </c>
      <c r="C13" s="30" t="s">
        <v>97</v>
      </c>
      <c r="D13" s="48" t="s">
        <v>132</v>
      </c>
      <c r="E13" s="3" t="s">
        <v>85</v>
      </c>
      <c r="F13" s="2" t="s">
        <v>30</v>
      </c>
      <c r="G13" s="13" t="s">
        <v>82</v>
      </c>
      <c r="H13" s="51" t="s">
        <v>155</v>
      </c>
      <c r="I13" s="8">
        <v>1</v>
      </c>
      <c r="J13" s="9">
        <f t="shared" si="1"/>
        <v>8</v>
      </c>
      <c r="K13" s="9">
        <f t="shared" si="0"/>
        <v>8</v>
      </c>
      <c r="L13" s="9">
        <v>1</v>
      </c>
      <c r="M13" s="4" t="s">
        <v>23</v>
      </c>
      <c r="N13" s="14" t="s">
        <v>76</v>
      </c>
      <c r="O13" s="4" t="s">
        <v>27</v>
      </c>
      <c r="P13" s="15" t="s">
        <v>71</v>
      </c>
      <c r="Q13" s="15" t="s">
        <v>31</v>
      </c>
      <c r="R13" s="15">
        <v>1</v>
      </c>
      <c r="S13" s="15">
        <v>0</v>
      </c>
      <c r="T13" s="15">
        <v>0</v>
      </c>
      <c r="U13" s="15">
        <v>1</v>
      </c>
      <c r="V13" s="15" t="s">
        <v>28</v>
      </c>
      <c r="W13" s="44" t="s">
        <v>126</v>
      </c>
      <c r="X13" s="2" t="s">
        <v>30</v>
      </c>
      <c r="Y13" s="9" t="s">
        <v>83</v>
      </c>
      <c r="Z13" s="9"/>
    </row>
    <row r="14" spans="1:27" s="5" customFormat="1" ht="220.5" customHeight="1">
      <c r="A14" s="54">
        <v>10</v>
      </c>
      <c r="B14" s="13" t="s">
        <v>67</v>
      </c>
      <c r="C14" s="30" t="s">
        <v>97</v>
      </c>
      <c r="D14" s="48" t="s">
        <v>133</v>
      </c>
      <c r="E14" s="3" t="s">
        <v>81</v>
      </c>
      <c r="F14" s="2" t="s">
        <v>30</v>
      </c>
      <c r="G14" s="13" t="s">
        <v>82</v>
      </c>
      <c r="H14" s="51" t="s">
        <v>155</v>
      </c>
      <c r="I14" s="8">
        <v>4</v>
      </c>
      <c r="J14" s="9">
        <f t="shared" si="1"/>
        <v>9</v>
      </c>
      <c r="K14" s="9">
        <f t="shared" si="0"/>
        <v>12</v>
      </c>
      <c r="L14" s="9">
        <v>4</v>
      </c>
      <c r="M14" s="33" t="s">
        <v>23</v>
      </c>
      <c r="N14" s="14" t="s">
        <v>76</v>
      </c>
      <c r="O14" s="4" t="s">
        <v>27</v>
      </c>
      <c r="P14" s="20" t="s">
        <v>131</v>
      </c>
      <c r="Q14" s="15" t="s">
        <v>31</v>
      </c>
      <c r="R14" s="15">
        <v>1</v>
      </c>
      <c r="S14" s="15">
        <v>0</v>
      </c>
      <c r="T14" s="15">
        <v>0</v>
      </c>
      <c r="U14" s="15">
        <v>15</v>
      </c>
      <c r="V14" s="15" t="s">
        <v>28</v>
      </c>
      <c r="W14" s="44" t="s">
        <v>263</v>
      </c>
      <c r="X14" s="46" t="s">
        <v>118</v>
      </c>
      <c r="Y14" s="9" t="s">
        <v>83</v>
      </c>
      <c r="Z14" s="9"/>
    </row>
    <row r="15" spans="1:27" s="5" customFormat="1" ht="107.25" customHeight="1">
      <c r="A15" s="54">
        <v>11</v>
      </c>
      <c r="B15" s="13" t="s">
        <v>34</v>
      </c>
      <c r="C15" s="30" t="s">
        <v>97</v>
      </c>
      <c r="D15" s="48" t="s">
        <v>134</v>
      </c>
      <c r="E15" s="3" t="s">
        <v>44</v>
      </c>
      <c r="F15" s="2" t="s">
        <v>35</v>
      </c>
      <c r="G15" s="13" t="s">
        <v>88</v>
      </c>
      <c r="H15" s="51" t="s">
        <v>154</v>
      </c>
      <c r="I15" s="8">
        <v>3</v>
      </c>
      <c r="J15" s="9">
        <f t="shared" si="1"/>
        <v>13</v>
      </c>
      <c r="K15" s="9">
        <f t="shared" si="0"/>
        <v>15</v>
      </c>
      <c r="L15" s="14">
        <v>3</v>
      </c>
      <c r="M15" s="4" t="s">
        <v>23</v>
      </c>
      <c r="N15" s="14" t="s">
        <v>36</v>
      </c>
      <c r="O15" s="4" t="s">
        <v>27</v>
      </c>
      <c r="P15" s="9" t="s">
        <v>60</v>
      </c>
      <c r="Q15" s="14" t="s">
        <v>39</v>
      </c>
      <c r="R15" s="14">
        <v>1</v>
      </c>
      <c r="S15" s="14">
        <v>0</v>
      </c>
      <c r="T15" s="14">
        <v>0</v>
      </c>
      <c r="U15" s="14">
        <v>7</v>
      </c>
      <c r="V15" s="10" t="s">
        <v>24</v>
      </c>
      <c r="W15" s="52" t="s">
        <v>151</v>
      </c>
      <c r="X15" s="24" t="s">
        <v>35</v>
      </c>
      <c r="Y15" s="2" t="s">
        <v>29</v>
      </c>
      <c r="Z15" s="2"/>
    </row>
    <row r="16" spans="1:27" ht="29.25" customHeight="1">
      <c r="A16" s="54">
        <v>12</v>
      </c>
      <c r="B16" s="23" t="s">
        <v>34</v>
      </c>
      <c r="C16" s="30" t="s">
        <v>97</v>
      </c>
      <c r="D16" s="48" t="s">
        <v>135</v>
      </c>
      <c r="E16" s="3" t="s">
        <v>86</v>
      </c>
      <c r="F16" s="2" t="s">
        <v>72</v>
      </c>
      <c r="G16" s="13" t="s">
        <v>103</v>
      </c>
      <c r="H16" s="51" t="s">
        <v>154</v>
      </c>
      <c r="I16" s="8">
        <v>1</v>
      </c>
      <c r="J16" s="9">
        <f t="shared" si="1"/>
        <v>16</v>
      </c>
      <c r="K16" s="9">
        <f t="shared" si="0"/>
        <v>16</v>
      </c>
      <c r="L16" s="9">
        <v>1</v>
      </c>
      <c r="M16" s="4" t="s">
        <v>23</v>
      </c>
      <c r="N16" s="14" t="s">
        <v>73</v>
      </c>
      <c r="O16" s="4" t="s">
        <v>27</v>
      </c>
      <c r="P16" s="15" t="s">
        <v>71</v>
      </c>
      <c r="Q16" s="15" t="s">
        <v>31</v>
      </c>
      <c r="R16" s="15">
        <v>1</v>
      </c>
      <c r="S16" s="15">
        <v>0</v>
      </c>
      <c r="T16" s="15">
        <v>0</v>
      </c>
      <c r="U16" s="15">
        <v>1</v>
      </c>
      <c r="V16" s="15" t="s">
        <v>74</v>
      </c>
      <c r="W16" s="44" t="s">
        <v>130</v>
      </c>
      <c r="X16" s="2" t="s">
        <v>72</v>
      </c>
      <c r="Y16" s="9" t="s">
        <v>87</v>
      </c>
      <c r="Z16" s="9"/>
    </row>
    <row r="17" spans="1:27" ht="205.5" customHeight="1">
      <c r="A17" s="54">
        <v>13</v>
      </c>
      <c r="B17" s="23" t="s">
        <v>34</v>
      </c>
      <c r="C17" s="30" t="s">
        <v>97</v>
      </c>
      <c r="D17" s="48" t="s">
        <v>136</v>
      </c>
      <c r="E17" s="3" t="s">
        <v>84</v>
      </c>
      <c r="F17" s="2" t="s">
        <v>30</v>
      </c>
      <c r="G17" s="13" t="s">
        <v>103</v>
      </c>
      <c r="H17" s="51" t="s">
        <v>154</v>
      </c>
      <c r="I17" s="8">
        <v>4</v>
      </c>
      <c r="J17" s="9">
        <f t="shared" si="1"/>
        <v>17</v>
      </c>
      <c r="K17" s="9">
        <f t="shared" si="0"/>
        <v>20</v>
      </c>
      <c r="L17" s="9">
        <v>4</v>
      </c>
      <c r="M17" s="4" t="s">
        <v>23</v>
      </c>
      <c r="N17" s="14" t="s">
        <v>32</v>
      </c>
      <c r="O17" s="4" t="s">
        <v>27</v>
      </c>
      <c r="P17" s="20" t="s">
        <v>71</v>
      </c>
      <c r="Q17" s="15" t="s">
        <v>31</v>
      </c>
      <c r="R17" s="15">
        <v>1</v>
      </c>
      <c r="S17" s="15">
        <v>0</v>
      </c>
      <c r="T17" s="15">
        <v>0</v>
      </c>
      <c r="U17" s="15">
        <v>15</v>
      </c>
      <c r="V17" s="15" t="s">
        <v>28</v>
      </c>
      <c r="W17" s="44" t="s">
        <v>246</v>
      </c>
      <c r="X17" s="45" t="s">
        <v>120</v>
      </c>
      <c r="Y17" s="9" t="s">
        <v>83</v>
      </c>
      <c r="Z17" s="9"/>
    </row>
    <row r="18" spans="1:27" ht="144" customHeight="1">
      <c r="A18" s="54">
        <v>14</v>
      </c>
      <c r="B18" s="23" t="s">
        <v>34</v>
      </c>
      <c r="C18" s="30" t="s">
        <v>97</v>
      </c>
      <c r="D18" s="48" t="s">
        <v>137</v>
      </c>
      <c r="E18" s="3" t="s">
        <v>54</v>
      </c>
      <c r="F18" s="2" t="s">
        <v>55</v>
      </c>
      <c r="G18" s="13" t="s">
        <v>103</v>
      </c>
      <c r="H18" s="51" t="s">
        <v>154</v>
      </c>
      <c r="I18" s="8">
        <v>3</v>
      </c>
      <c r="J18" s="9">
        <f t="shared" si="1"/>
        <v>21</v>
      </c>
      <c r="K18" s="9">
        <f t="shared" si="0"/>
        <v>23</v>
      </c>
      <c r="L18" s="14">
        <v>3</v>
      </c>
      <c r="M18" s="4" t="s">
        <v>23</v>
      </c>
      <c r="N18" s="14" t="s">
        <v>51</v>
      </c>
      <c r="O18" s="4" t="s">
        <v>27</v>
      </c>
      <c r="P18" s="9" t="s">
        <v>63</v>
      </c>
      <c r="Q18" s="14" t="s">
        <v>52</v>
      </c>
      <c r="R18" s="14">
        <v>1</v>
      </c>
      <c r="S18" s="14">
        <v>0</v>
      </c>
      <c r="T18" s="14">
        <v>0</v>
      </c>
      <c r="U18" s="14">
        <v>7</v>
      </c>
      <c r="V18" s="14" t="s">
        <v>53</v>
      </c>
      <c r="W18" s="6" t="s">
        <v>127</v>
      </c>
      <c r="X18" s="24" t="s">
        <v>55</v>
      </c>
      <c r="Y18" s="2"/>
      <c r="Z18" s="2"/>
      <c r="AA18" s="25"/>
    </row>
    <row r="19" spans="1:27" s="5" customFormat="1" ht="38.25" customHeight="1">
      <c r="A19" s="54">
        <v>15</v>
      </c>
      <c r="B19" s="15" t="s">
        <v>89</v>
      </c>
      <c r="C19" s="30" t="s">
        <v>97</v>
      </c>
      <c r="D19" s="49" t="s">
        <v>138</v>
      </c>
      <c r="E19" s="18" t="s">
        <v>90</v>
      </c>
      <c r="F19" s="19" t="s">
        <v>24</v>
      </c>
      <c r="G19" s="20" t="s">
        <v>93</v>
      </c>
      <c r="H19" s="51" t="s">
        <v>154</v>
      </c>
      <c r="I19" s="8">
        <v>1</v>
      </c>
      <c r="J19" s="9">
        <f t="shared" si="1"/>
        <v>24</v>
      </c>
      <c r="K19" s="9">
        <f t="shared" si="0"/>
        <v>24</v>
      </c>
      <c r="L19" s="21">
        <v>1</v>
      </c>
      <c r="M19" s="19" t="s">
        <v>23</v>
      </c>
      <c r="N19" s="21" t="s">
        <v>26</v>
      </c>
      <c r="O19" s="19" t="s">
        <v>27</v>
      </c>
      <c r="P19" s="19" t="s">
        <v>91</v>
      </c>
      <c r="Q19" s="21" t="s">
        <v>92</v>
      </c>
      <c r="R19" s="21">
        <v>1</v>
      </c>
      <c r="S19" s="21">
        <v>0</v>
      </c>
      <c r="T19" s="21">
        <v>0</v>
      </c>
      <c r="U19" s="21">
        <v>1</v>
      </c>
      <c r="V19" s="21" t="s">
        <v>24</v>
      </c>
      <c r="W19" s="22" t="s">
        <v>38</v>
      </c>
      <c r="X19" s="19" t="s">
        <v>24</v>
      </c>
      <c r="Y19" s="19" t="s">
        <v>59</v>
      </c>
      <c r="Z19" s="19"/>
    </row>
    <row r="20" spans="1:27" s="5" customFormat="1" ht="34.5" customHeight="1">
      <c r="A20" s="54">
        <v>16</v>
      </c>
      <c r="B20" s="23" t="s">
        <v>34</v>
      </c>
      <c r="C20" s="30" t="s">
        <v>97</v>
      </c>
      <c r="D20" s="48" t="s">
        <v>140</v>
      </c>
      <c r="E20" s="3" t="s">
        <v>40</v>
      </c>
      <c r="F20" s="2" t="s">
        <v>35</v>
      </c>
      <c r="G20" s="13" t="s">
        <v>88</v>
      </c>
      <c r="H20" s="51" t="s">
        <v>154</v>
      </c>
      <c r="I20" s="8">
        <v>1</v>
      </c>
      <c r="J20" s="9">
        <f t="shared" si="1"/>
        <v>25</v>
      </c>
      <c r="K20" s="9">
        <f t="shared" si="0"/>
        <v>25</v>
      </c>
      <c r="L20" s="14">
        <v>1</v>
      </c>
      <c r="M20" s="4" t="s">
        <v>23</v>
      </c>
      <c r="N20" s="14" t="s">
        <v>41</v>
      </c>
      <c r="O20" s="4" t="s">
        <v>27</v>
      </c>
      <c r="P20" s="4" t="s">
        <v>60</v>
      </c>
      <c r="Q20" s="14" t="s">
        <v>39</v>
      </c>
      <c r="R20" s="14">
        <v>1</v>
      </c>
      <c r="S20" s="14">
        <v>0</v>
      </c>
      <c r="T20" s="14">
        <v>0</v>
      </c>
      <c r="U20" s="14">
        <v>1</v>
      </c>
      <c r="V20" s="14" t="s">
        <v>37</v>
      </c>
      <c r="W20" s="6" t="s">
        <v>42</v>
      </c>
      <c r="X20" s="19" t="s">
        <v>24</v>
      </c>
      <c r="Y20" s="2" t="s">
        <v>33</v>
      </c>
      <c r="Z20" s="2"/>
    </row>
    <row r="21" spans="1:27" s="5" customFormat="1" ht="48" customHeight="1">
      <c r="A21" s="54">
        <v>17</v>
      </c>
      <c r="B21" s="23" t="s">
        <v>34</v>
      </c>
      <c r="C21" s="30" t="s">
        <v>97</v>
      </c>
      <c r="D21" s="48" t="s">
        <v>139</v>
      </c>
      <c r="E21" s="43" t="s">
        <v>125</v>
      </c>
      <c r="F21" s="2" t="s">
        <v>35</v>
      </c>
      <c r="G21" s="13" t="s">
        <v>88</v>
      </c>
      <c r="H21" s="51" t="s">
        <v>154</v>
      </c>
      <c r="I21" s="8">
        <v>1</v>
      </c>
      <c r="J21" s="9">
        <f t="shared" si="1"/>
        <v>26</v>
      </c>
      <c r="K21" s="9">
        <f t="shared" si="0"/>
        <v>26</v>
      </c>
      <c r="L21" s="14">
        <v>1</v>
      </c>
      <c r="M21" s="4" t="s">
        <v>23</v>
      </c>
      <c r="N21" s="14" t="s">
        <v>41</v>
      </c>
      <c r="O21" s="4" t="s">
        <v>27</v>
      </c>
      <c r="P21" s="4" t="s">
        <v>60</v>
      </c>
      <c r="Q21" s="14" t="s">
        <v>39</v>
      </c>
      <c r="R21" s="14">
        <v>1</v>
      </c>
      <c r="S21" s="14">
        <v>0</v>
      </c>
      <c r="T21" s="14">
        <v>0</v>
      </c>
      <c r="U21" s="14">
        <v>1</v>
      </c>
      <c r="V21" s="14" t="s">
        <v>37</v>
      </c>
      <c r="W21" s="6" t="s">
        <v>42</v>
      </c>
      <c r="X21" s="19" t="s">
        <v>24</v>
      </c>
      <c r="Y21" s="2" t="s">
        <v>33</v>
      </c>
      <c r="Z21" s="2"/>
    </row>
    <row r="22" spans="1:27" s="5" customFormat="1" ht="26.25" customHeight="1">
      <c r="A22" s="54">
        <v>18</v>
      </c>
      <c r="B22" s="13" t="s">
        <v>34</v>
      </c>
      <c r="C22" s="30" t="s">
        <v>97</v>
      </c>
      <c r="D22" s="48" t="s">
        <v>141</v>
      </c>
      <c r="E22" s="3" t="s">
        <v>43</v>
      </c>
      <c r="F22" s="2" t="s">
        <v>35</v>
      </c>
      <c r="G22" s="13" t="s">
        <v>88</v>
      </c>
      <c r="H22" s="51" t="s">
        <v>154</v>
      </c>
      <c r="I22" s="8">
        <v>1</v>
      </c>
      <c r="J22" s="9">
        <f t="shared" si="1"/>
        <v>27</v>
      </c>
      <c r="K22" s="9">
        <f t="shared" si="0"/>
        <v>27</v>
      </c>
      <c r="L22" s="14">
        <v>1</v>
      </c>
      <c r="M22" s="4" t="s">
        <v>23</v>
      </c>
      <c r="N22" s="14" t="s">
        <v>41</v>
      </c>
      <c r="O22" s="4" t="s">
        <v>27</v>
      </c>
      <c r="P22" s="4" t="s">
        <v>60</v>
      </c>
      <c r="Q22" s="14" t="s">
        <v>39</v>
      </c>
      <c r="R22" s="14">
        <v>1</v>
      </c>
      <c r="S22" s="14">
        <v>0</v>
      </c>
      <c r="T22" s="14">
        <v>0</v>
      </c>
      <c r="U22" s="14">
        <v>1</v>
      </c>
      <c r="V22" s="14" t="s">
        <v>37</v>
      </c>
      <c r="W22" s="6" t="s">
        <v>42</v>
      </c>
      <c r="X22" s="19" t="s">
        <v>24</v>
      </c>
      <c r="Y22" s="2" t="s">
        <v>33</v>
      </c>
      <c r="Z22" s="2"/>
    </row>
    <row r="23" spans="1:27" s="5" customFormat="1" ht="23.25" customHeight="1">
      <c r="A23" s="54">
        <v>19</v>
      </c>
      <c r="B23" s="23" t="s">
        <v>34</v>
      </c>
      <c r="C23" s="30" t="s">
        <v>97</v>
      </c>
      <c r="D23" s="48" t="s">
        <v>142</v>
      </c>
      <c r="E23" s="3" t="s">
        <v>46</v>
      </c>
      <c r="F23" s="2" t="s">
        <v>35</v>
      </c>
      <c r="G23" s="13" t="s">
        <v>88</v>
      </c>
      <c r="H23" s="51" t="s">
        <v>154</v>
      </c>
      <c r="I23" s="8">
        <v>1</v>
      </c>
      <c r="J23" s="9">
        <f t="shared" si="1"/>
        <v>28</v>
      </c>
      <c r="K23" s="9">
        <f t="shared" si="0"/>
        <v>28</v>
      </c>
      <c r="L23" s="14">
        <v>1</v>
      </c>
      <c r="M23" s="4" t="s">
        <v>23</v>
      </c>
      <c r="N23" s="14" t="s">
        <v>36</v>
      </c>
      <c r="O23" s="4" t="s">
        <v>27</v>
      </c>
      <c r="P23" s="4" t="s">
        <v>62</v>
      </c>
      <c r="Q23" s="14" t="s">
        <v>39</v>
      </c>
      <c r="R23" s="14">
        <v>1</v>
      </c>
      <c r="S23" s="14">
        <v>0</v>
      </c>
      <c r="T23" s="14">
        <v>0</v>
      </c>
      <c r="U23" s="14">
        <v>1</v>
      </c>
      <c r="V23" s="10" t="s">
        <v>24</v>
      </c>
      <c r="W23" s="47" t="s">
        <v>128</v>
      </c>
      <c r="X23" s="4" t="s">
        <v>61</v>
      </c>
      <c r="Y23" s="2" t="s">
        <v>33</v>
      </c>
      <c r="Z23" s="2"/>
    </row>
    <row r="24" spans="1:27" s="5" customFormat="1" ht="34.5" customHeight="1">
      <c r="A24" s="54">
        <v>20</v>
      </c>
      <c r="B24" s="23" t="s">
        <v>34</v>
      </c>
      <c r="C24" s="30" t="s">
        <v>97</v>
      </c>
      <c r="D24" s="48" t="s">
        <v>143</v>
      </c>
      <c r="E24" s="3" t="s">
        <v>47</v>
      </c>
      <c r="F24" s="2" t="s">
        <v>35</v>
      </c>
      <c r="G24" s="13" t="s">
        <v>88</v>
      </c>
      <c r="H24" s="51" t="s">
        <v>154</v>
      </c>
      <c r="I24" s="8">
        <v>1</v>
      </c>
      <c r="J24" s="9">
        <f t="shared" si="1"/>
        <v>29</v>
      </c>
      <c r="K24" s="9">
        <f t="shared" si="0"/>
        <v>29</v>
      </c>
      <c r="L24" s="14">
        <v>1</v>
      </c>
      <c r="M24" s="4" t="s">
        <v>23</v>
      </c>
      <c r="N24" s="14" t="s">
        <v>41</v>
      </c>
      <c r="O24" s="4" t="s">
        <v>27</v>
      </c>
      <c r="P24" s="4" t="s">
        <v>60</v>
      </c>
      <c r="Q24" s="8" t="s">
        <v>45</v>
      </c>
      <c r="R24" s="8">
        <v>1</v>
      </c>
      <c r="S24" s="8">
        <v>0</v>
      </c>
      <c r="T24" s="8">
        <v>0</v>
      </c>
      <c r="U24" s="8">
        <v>1</v>
      </c>
      <c r="V24" s="8" t="s">
        <v>37</v>
      </c>
      <c r="W24" s="47" t="s">
        <v>48</v>
      </c>
      <c r="X24" s="24" t="s">
        <v>35</v>
      </c>
      <c r="Y24" s="2" t="s">
        <v>29</v>
      </c>
      <c r="Z24" s="2"/>
    </row>
    <row r="25" spans="1:27" s="5" customFormat="1" ht="28.5" customHeight="1">
      <c r="A25" s="54">
        <v>21</v>
      </c>
      <c r="B25" s="23" t="s">
        <v>34</v>
      </c>
      <c r="C25" s="30" t="s">
        <v>97</v>
      </c>
      <c r="D25" s="48" t="s">
        <v>144</v>
      </c>
      <c r="E25" s="3" t="s">
        <v>49</v>
      </c>
      <c r="F25" s="2" t="s">
        <v>35</v>
      </c>
      <c r="G25" s="13" t="s">
        <v>88</v>
      </c>
      <c r="H25" s="51" t="s">
        <v>154</v>
      </c>
      <c r="I25" s="8">
        <v>1</v>
      </c>
      <c r="J25" s="9">
        <f t="shared" si="1"/>
        <v>30</v>
      </c>
      <c r="K25" s="9">
        <f t="shared" si="0"/>
        <v>30</v>
      </c>
      <c r="L25" s="14">
        <v>1</v>
      </c>
      <c r="M25" s="4" t="s">
        <v>23</v>
      </c>
      <c r="N25" s="14" t="s">
        <v>36</v>
      </c>
      <c r="O25" s="4" t="s">
        <v>27</v>
      </c>
      <c r="P25" s="4" t="s">
        <v>62</v>
      </c>
      <c r="Q25" s="14" t="s">
        <v>39</v>
      </c>
      <c r="R25" s="14">
        <v>1</v>
      </c>
      <c r="S25" s="14">
        <v>0</v>
      </c>
      <c r="T25" s="14">
        <v>0</v>
      </c>
      <c r="U25" s="14">
        <v>1</v>
      </c>
      <c r="V25" s="10" t="s">
        <v>24</v>
      </c>
      <c r="W25" s="6" t="s">
        <v>129</v>
      </c>
      <c r="X25" s="4" t="s">
        <v>61</v>
      </c>
      <c r="Y25" s="2" t="s">
        <v>33</v>
      </c>
      <c r="Z25" s="2"/>
    </row>
    <row r="26" spans="1:27" s="5" customFormat="1" ht="33" customHeight="1">
      <c r="A26" s="54">
        <v>22</v>
      </c>
      <c r="B26" s="13" t="s">
        <v>89</v>
      </c>
      <c r="C26" s="30" t="s">
        <v>97</v>
      </c>
      <c r="D26" s="48" t="s">
        <v>145</v>
      </c>
      <c r="E26" s="32" t="s">
        <v>104</v>
      </c>
      <c r="F26" s="2" t="s">
        <v>35</v>
      </c>
      <c r="G26" s="13" t="s">
        <v>103</v>
      </c>
      <c r="H26" s="51" t="s">
        <v>154</v>
      </c>
      <c r="I26" s="8">
        <v>1</v>
      </c>
      <c r="J26" s="9">
        <f t="shared" si="1"/>
        <v>31</v>
      </c>
      <c r="K26" s="9">
        <f t="shared" si="0"/>
        <v>31</v>
      </c>
      <c r="L26" s="14">
        <v>1</v>
      </c>
      <c r="M26" s="4" t="s">
        <v>23</v>
      </c>
      <c r="N26" s="14" t="s">
        <v>41</v>
      </c>
      <c r="O26" s="4" t="s">
        <v>27</v>
      </c>
      <c r="P26" s="4" t="s">
        <v>60</v>
      </c>
      <c r="Q26" s="14" t="s">
        <v>39</v>
      </c>
      <c r="R26" s="14">
        <v>1</v>
      </c>
      <c r="S26" s="14">
        <v>0</v>
      </c>
      <c r="T26" s="14">
        <v>0</v>
      </c>
      <c r="U26" s="14">
        <v>1</v>
      </c>
      <c r="V26" s="14" t="s">
        <v>37</v>
      </c>
      <c r="W26" s="6" t="s">
        <v>42</v>
      </c>
      <c r="X26" s="19" t="s">
        <v>24</v>
      </c>
      <c r="Y26" s="2" t="s">
        <v>33</v>
      </c>
      <c r="Z26" s="2"/>
    </row>
    <row r="27" spans="1:27" s="5" customFormat="1" ht="33" customHeight="1">
      <c r="A27" s="54">
        <v>23</v>
      </c>
      <c r="B27" s="23" t="s">
        <v>34</v>
      </c>
      <c r="C27" s="30" t="s">
        <v>97</v>
      </c>
      <c r="D27" s="48" t="s">
        <v>146</v>
      </c>
      <c r="E27" s="32" t="s">
        <v>105</v>
      </c>
      <c r="F27" s="2" t="s">
        <v>35</v>
      </c>
      <c r="G27" s="13" t="s">
        <v>103</v>
      </c>
      <c r="H27" s="51" t="s">
        <v>154</v>
      </c>
      <c r="I27" s="8">
        <v>1</v>
      </c>
      <c r="J27" s="9">
        <f t="shared" si="1"/>
        <v>32</v>
      </c>
      <c r="K27" s="9">
        <f t="shared" si="0"/>
        <v>32</v>
      </c>
      <c r="L27" s="14">
        <v>1</v>
      </c>
      <c r="M27" s="4" t="s">
        <v>23</v>
      </c>
      <c r="N27" s="14" t="s">
        <v>41</v>
      </c>
      <c r="O27" s="4" t="s">
        <v>27</v>
      </c>
      <c r="P27" s="4" t="s">
        <v>60</v>
      </c>
      <c r="Q27" s="14" t="s">
        <v>39</v>
      </c>
      <c r="R27" s="14">
        <v>1</v>
      </c>
      <c r="S27" s="14">
        <v>0</v>
      </c>
      <c r="T27" s="14">
        <v>0</v>
      </c>
      <c r="U27" s="14">
        <v>1</v>
      </c>
      <c r="V27" s="14" t="s">
        <v>37</v>
      </c>
      <c r="W27" s="6" t="s">
        <v>42</v>
      </c>
      <c r="X27" s="19" t="s">
        <v>24</v>
      </c>
      <c r="Y27" s="2" t="s">
        <v>33</v>
      </c>
      <c r="Z27" s="2"/>
    </row>
    <row r="28" spans="1:27" s="5" customFormat="1" ht="33" customHeight="1">
      <c r="A28" s="54">
        <v>24</v>
      </c>
      <c r="B28" s="23" t="s">
        <v>34</v>
      </c>
      <c r="C28" s="30" t="s">
        <v>97</v>
      </c>
      <c r="D28" s="48" t="s">
        <v>147</v>
      </c>
      <c r="E28" s="32" t="s">
        <v>106</v>
      </c>
      <c r="F28" s="2" t="s">
        <v>35</v>
      </c>
      <c r="G28" s="13" t="s">
        <v>103</v>
      </c>
      <c r="H28" s="51" t="s">
        <v>154</v>
      </c>
      <c r="I28" s="8">
        <v>1</v>
      </c>
      <c r="J28" s="9">
        <f t="shared" si="1"/>
        <v>33</v>
      </c>
      <c r="K28" s="9">
        <f t="shared" si="0"/>
        <v>33</v>
      </c>
      <c r="L28" s="14">
        <v>1</v>
      </c>
      <c r="M28" s="4" t="s">
        <v>23</v>
      </c>
      <c r="N28" s="14" t="s">
        <v>41</v>
      </c>
      <c r="O28" s="4" t="s">
        <v>27</v>
      </c>
      <c r="P28" s="4" t="s">
        <v>60</v>
      </c>
      <c r="Q28" s="14" t="s">
        <v>39</v>
      </c>
      <c r="R28" s="14">
        <v>1</v>
      </c>
      <c r="S28" s="14">
        <v>0</v>
      </c>
      <c r="T28" s="14">
        <v>0</v>
      </c>
      <c r="U28" s="14">
        <v>1</v>
      </c>
      <c r="V28" s="14" t="s">
        <v>37</v>
      </c>
      <c r="W28" s="6" t="s">
        <v>42</v>
      </c>
      <c r="X28" s="19" t="s">
        <v>24</v>
      </c>
      <c r="Y28" s="2" t="s">
        <v>33</v>
      </c>
      <c r="Z28" s="2"/>
    </row>
    <row r="29" spans="1:27" s="17" customFormat="1" ht="36" customHeight="1">
      <c r="A29" s="54">
        <v>25</v>
      </c>
      <c r="B29" s="9" t="s">
        <v>89</v>
      </c>
      <c r="C29" s="31" t="s">
        <v>97</v>
      </c>
      <c r="D29" s="48" t="s">
        <v>148</v>
      </c>
      <c r="E29" s="32" t="s">
        <v>102</v>
      </c>
      <c r="F29" s="2"/>
      <c r="G29" s="31" t="s">
        <v>103</v>
      </c>
      <c r="H29" s="51" t="s">
        <v>154</v>
      </c>
      <c r="I29" s="8">
        <v>1</v>
      </c>
      <c r="J29" s="9">
        <f t="shared" si="1"/>
        <v>34</v>
      </c>
      <c r="K29" s="9">
        <f t="shared" si="0"/>
        <v>34</v>
      </c>
      <c r="L29" s="4">
        <v>1</v>
      </c>
      <c r="M29" s="4" t="s">
        <v>23</v>
      </c>
      <c r="N29" s="14" t="s">
        <v>32</v>
      </c>
      <c r="O29" s="4" t="s">
        <v>27</v>
      </c>
      <c r="P29" s="42" t="s">
        <v>122</v>
      </c>
      <c r="Q29" s="15" t="s">
        <v>31</v>
      </c>
      <c r="R29" s="14">
        <v>1</v>
      </c>
      <c r="S29" s="14">
        <v>0</v>
      </c>
      <c r="T29" s="14">
        <v>0</v>
      </c>
      <c r="U29" s="4">
        <v>4</v>
      </c>
      <c r="V29" s="4"/>
      <c r="W29" s="48" t="s">
        <v>156</v>
      </c>
      <c r="X29" s="4"/>
      <c r="Y29" s="9" t="s">
        <v>87</v>
      </c>
      <c r="Z29" s="4"/>
    </row>
    <row r="30" spans="1:27" ht="33" customHeight="1">
      <c r="A30" s="54">
        <v>26</v>
      </c>
      <c r="B30" s="23" t="s">
        <v>34</v>
      </c>
      <c r="C30" s="30" t="s">
        <v>97</v>
      </c>
      <c r="D30" s="48" t="s">
        <v>149</v>
      </c>
      <c r="E30" s="3" t="s">
        <v>56</v>
      </c>
      <c r="F30" s="2" t="s">
        <v>55</v>
      </c>
      <c r="G30" s="13" t="s">
        <v>103</v>
      </c>
      <c r="H30" s="51" t="s">
        <v>154</v>
      </c>
      <c r="I30" s="8">
        <v>1</v>
      </c>
      <c r="J30" s="9">
        <f t="shared" si="1"/>
        <v>35</v>
      </c>
      <c r="K30" s="9">
        <f t="shared" si="0"/>
        <v>35</v>
      </c>
      <c r="L30" s="14">
        <v>1</v>
      </c>
      <c r="M30" s="4" t="s">
        <v>23</v>
      </c>
      <c r="N30" s="14" t="s">
        <v>51</v>
      </c>
      <c r="O30" s="4" t="s">
        <v>27</v>
      </c>
      <c r="P30" s="4" t="s">
        <v>62</v>
      </c>
      <c r="Q30" s="14" t="s">
        <v>52</v>
      </c>
      <c r="R30" s="14">
        <v>1</v>
      </c>
      <c r="S30" s="14">
        <v>0</v>
      </c>
      <c r="T30" s="14">
        <v>0</v>
      </c>
      <c r="U30" s="14">
        <v>1</v>
      </c>
      <c r="V30" s="14" t="s">
        <v>53</v>
      </c>
      <c r="W30" s="6" t="s">
        <v>57</v>
      </c>
      <c r="X30" s="4" t="s">
        <v>61</v>
      </c>
      <c r="Y30" s="2" t="s">
        <v>33</v>
      </c>
      <c r="Z30" s="2"/>
      <c r="AA30" s="25"/>
    </row>
    <row r="31" spans="1:27" ht="33" customHeight="1">
      <c r="A31" s="54">
        <v>27</v>
      </c>
      <c r="B31" s="23" t="s">
        <v>34</v>
      </c>
      <c r="C31" s="30" t="s">
        <v>97</v>
      </c>
      <c r="D31" s="48" t="s">
        <v>150</v>
      </c>
      <c r="E31" s="3" t="s">
        <v>58</v>
      </c>
      <c r="F31" s="2" t="s">
        <v>55</v>
      </c>
      <c r="G31" s="13" t="s">
        <v>103</v>
      </c>
      <c r="H31" s="51" t="s">
        <v>154</v>
      </c>
      <c r="I31" s="8">
        <v>1</v>
      </c>
      <c r="J31" s="9">
        <f t="shared" si="1"/>
        <v>36</v>
      </c>
      <c r="K31" s="9">
        <f t="shared" si="0"/>
        <v>36</v>
      </c>
      <c r="L31" s="14">
        <v>1</v>
      </c>
      <c r="M31" s="4" t="s">
        <v>23</v>
      </c>
      <c r="N31" s="14" t="s">
        <v>51</v>
      </c>
      <c r="O31" s="4" t="s">
        <v>27</v>
      </c>
      <c r="P31" s="4" t="s">
        <v>62</v>
      </c>
      <c r="Q31" s="14" t="s">
        <v>52</v>
      </c>
      <c r="R31" s="14">
        <v>1</v>
      </c>
      <c r="S31" s="14">
        <v>0</v>
      </c>
      <c r="T31" s="14">
        <v>0</v>
      </c>
      <c r="U31" s="14">
        <v>1</v>
      </c>
      <c r="V31" s="14" t="s">
        <v>53</v>
      </c>
      <c r="W31" s="6" t="s">
        <v>50</v>
      </c>
      <c r="X31" s="4" t="s">
        <v>61</v>
      </c>
      <c r="Y31" s="2" t="s">
        <v>33</v>
      </c>
      <c r="Z31" s="2"/>
    </row>
    <row r="32" spans="1:27" s="5" customFormat="1" ht="42" customHeight="1">
      <c r="A32" s="54">
        <v>28</v>
      </c>
      <c r="B32" s="23" t="s">
        <v>34</v>
      </c>
      <c r="C32" s="30" t="s">
        <v>97</v>
      </c>
      <c r="D32" s="48" t="s">
        <v>152</v>
      </c>
      <c r="E32" s="3" t="s">
        <v>47</v>
      </c>
      <c r="F32" s="2" t="s">
        <v>35</v>
      </c>
      <c r="G32" s="13" t="s">
        <v>88</v>
      </c>
      <c r="H32" s="51" t="s">
        <v>154</v>
      </c>
      <c r="I32" s="8">
        <v>1</v>
      </c>
      <c r="J32" s="9">
        <f t="shared" si="1"/>
        <v>37</v>
      </c>
      <c r="K32" s="9">
        <f t="shared" si="0"/>
        <v>37</v>
      </c>
      <c r="L32" s="14">
        <v>1</v>
      </c>
      <c r="M32" s="4" t="s">
        <v>23</v>
      </c>
      <c r="N32" s="14" t="s">
        <v>41</v>
      </c>
      <c r="O32" s="4" t="s">
        <v>27</v>
      </c>
      <c r="P32" s="4" t="s">
        <v>60</v>
      </c>
      <c r="Q32" s="8" t="s">
        <v>45</v>
      </c>
      <c r="R32" s="8">
        <v>1</v>
      </c>
      <c r="S32" s="8">
        <v>0</v>
      </c>
      <c r="T32" s="8">
        <v>0</v>
      </c>
      <c r="U32" s="8">
        <v>1</v>
      </c>
      <c r="V32" s="8" t="s">
        <v>37</v>
      </c>
      <c r="W32" s="47" t="s">
        <v>48</v>
      </c>
      <c r="X32" s="24" t="s">
        <v>35</v>
      </c>
      <c r="Y32" s="2" t="s">
        <v>29</v>
      </c>
      <c r="Z32" s="2"/>
    </row>
  </sheetData>
  <autoFilter ref="A2:HK304" xr:uid="{00000000-0009-0000-0000-000000000000}"/>
  <sortState xmlns:xlrd2="http://schemas.microsoft.com/office/spreadsheetml/2017/richdata2" ref="B3:AC83">
    <sortCondition ref="B3:B83"/>
    <sortCondition ref="G3:G83"/>
    <sortCondition ref="J3:J83"/>
  </sortState>
  <dataConsolidate/>
  <customSheetViews>
    <customSheetView guid="{D28585A0-5D39-432E-81ED-6A20A7471F73}" scale="115" showPageBreaks="1" printArea="1" showAutoFilter="1" hiddenColumns="1">
      <pane xSplit="4" ySplit="2" topLeftCell="E3" activePane="bottomRight" state="frozen"/>
      <selection pane="bottomRight" activeCell="X4" sqref="X4"/>
      <pageMargins left="0.19685039370078741" right="0.19685039370078741" top="0.19685039370078741" bottom="0.19685039370078741" header="0.19685039370078741" footer="0.51181102362204722"/>
      <pageSetup orientation="landscape" r:id="rId1"/>
      <headerFooter alignWithMargins="0"/>
      <autoFilter ref="A2:HK304" xr:uid="{00000000-0009-0000-0000-000000000000}"/>
    </customSheetView>
    <customSheetView guid="{566BD698-1192-4E29-A1DB-0EA15F9BC81B}" scale="115" showPageBreaks="1" printArea="1" showAutoFilter="1" hiddenColumns="1">
      <pane xSplit="4" ySplit="2" topLeftCell="E6" activePane="bottomRight" state="frozen"/>
      <selection pane="bottomRight" activeCell="AA10" sqref="AA10"/>
      <pageMargins left="0.19685039370078741" right="0.19685039370078741" top="0.19685039370078741" bottom="0.19685039370078741" header="0.19685039370078741" footer="0.51181102362204722"/>
      <pageSetup orientation="landscape" r:id="rId2"/>
      <headerFooter alignWithMargins="0"/>
      <autoFilter ref="A2:HK304" xr:uid="{00000000-0000-0000-0000-000000000000}"/>
    </customSheetView>
  </customSheetViews>
  <mergeCells count="27">
    <mergeCell ref="A3:Z3"/>
    <mergeCell ref="A6:Z6"/>
    <mergeCell ref="Q1:Q2"/>
    <mergeCell ref="K1:K2"/>
    <mergeCell ref="L1:L2"/>
    <mergeCell ref="M1:M2"/>
    <mergeCell ref="N1:N2"/>
    <mergeCell ref="O1:O2"/>
    <mergeCell ref="P1:P2"/>
    <mergeCell ref="X1:X2"/>
    <mergeCell ref="Y1:Z1"/>
    <mergeCell ref="R1:R2"/>
    <mergeCell ref="S1:S2"/>
    <mergeCell ref="T1:T2"/>
    <mergeCell ref="U1:U2"/>
    <mergeCell ref="V1:V2"/>
    <mergeCell ref="W1:W2"/>
    <mergeCell ref="A1:A2"/>
    <mergeCell ref="B1:B2"/>
    <mergeCell ref="C1:C2"/>
    <mergeCell ref="D1:D2"/>
    <mergeCell ref="J1:J2"/>
    <mergeCell ref="E1:E2"/>
    <mergeCell ref="F1:F2"/>
    <mergeCell ref="G1:G2"/>
    <mergeCell ref="H1:H2"/>
    <mergeCell ref="I1:I2"/>
  </mergeCells>
  <phoneticPr fontId="14" type="noConversion"/>
  <dataValidations count="4">
    <dataValidation allowBlank="1" showErrorMessage="1" sqref="U29 V4:V5 P4:P5 P13:P15 V18 S13:V15 V30:V31 P32 P19:P28 S19:V28 S32:V65408 P33:Q65408" xr:uid="{00000000-0002-0000-0000-000000000000}"/>
    <dataValidation allowBlank="1" showErrorMessage="1" promptTitle="填写帮助" prompt="该部分知道多少填写多少，不知道可不填写" sqref="R13:R15 R19:R28 R32:R65408" xr:uid="{00000000-0002-0000-0000-000001000000}"/>
    <dataValidation allowBlank="1" showErrorMessage="1" promptTitle="note:" prompt="This table must be filled out by the supplier." sqref="C1:C2" xr:uid="{00000000-0002-0000-0000-000002000000}"/>
    <dataValidation type="list" allowBlank="1" showInputMessage="1" showErrorMessage="1" sqref="M30:M32 M13:M15 M18:M28" xr:uid="{00000000-0002-0000-0000-000003000000}">
      <formula1>"Intel, Motorola"</formula1>
    </dataValidation>
  </dataValidations>
  <pageMargins left="0.19685039370078741" right="0.19685039370078741" top="0.19685039370078741" bottom="0.19685039370078741" header="0.19685039370078741" footer="0.51181102362204722"/>
  <pageSetup orientation="landscape"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E26"/>
  <sheetViews>
    <sheetView showGridLines="0" topLeftCell="A4" zoomScaleNormal="100" workbookViewId="0">
      <selection activeCell="I17" sqref="I17"/>
    </sheetView>
  </sheetViews>
  <sheetFormatPr defaultColWidth="9.140625" defaultRowHeight="12.75"/>
  <cols>
    <col min="1" max="1" width="9.140625" style="26"/>
    <col min="2" max="3" width="19.85546875" style="26" customWidth="1"/>
    <col min="4" max="4" width="21" style="26" customWidth="1"/>
    <col min="5" max="5" width="14.42578125" style="26" bestFit="1" customWidth="1"/>
    <col min="6" max="16384" width="9.140625" style="26"/>
  </cols>
  <sheetData>
    <row r="1" spans="1:5" ht="18" customHeight="1">
      <c r="A1" s="27"/>
      <c r="B1" s="27"/>
      <c r="C1" s="27"/>
      <c r="D1" s="27"/>
      <c r="E1" s="27"/>
    </row>
    <row r="2" spans="1:5" ht="15.75" customHeight="1">
      <c r="A2" s="112" t="s">
        <v>121</v>
      </c>
      <c r="B2" s="112"/>
      <c r="C2" s="112"/>
      <c r="D2" s="112"/>
      <c r="E2" s="112"/>
    </row>
    <row r="3" spans="1:5" ht="15.75">
      <c r="A3" s="73" t="s">
        <v>64</v>
      </c>
      <c r="B3" s="73" t="s">
        <v>111</v>
      </c>
      <c r="C3" s="73" t="s">
        <v>107</v>
      </c>
      <c r="D3" s="73" t="s">
        <v>65</v>
      </c>
      <c r="E3" s="73" t="s">
        <v>66</v>
      </c>
    </row>
    <row r="4" spans="1:5">
      <c r="A4" s="74">
        <v>0</v>
      </c>
      <c r="B4" s="74" t="s">
        <v>124</v>
      </c>
      <c r="C4" s="74" t="s">
        <v>108</v>
      </c>
      <c r="D4" s="74">
        <v>20</v>
      </c>
      <c r="E4" s="113">
        <v>60</v>
      </c>
    </row>
    <row r="5" spans="1:5">
      <c r="A5" s="74">
        <v>1</v>
      </c>
      <c r="B5" s="74" t="s">
        <v>123</v>
      </c>
      <c r="C5" s="74" t="s">
        <v>109</v>
      </c>
      <c r="D5" s="74">
        <v>20</v>
      </c>
      <c r="E5" s="114"/>
    </row>
    <row r="6" spans="1:5">
      <c r="A6" s="74">
        <v>2</v>
      </c>
      <c r="B6" s="74" t="s">
        <v>112</v>
      </c>
      <c r="C6" s="74" t="s">
        <v>110</v>
      </c>
      <c r="D6" s="74">
        <v>20</v>
      </c>
      <c r="E6" s="115"/>
    </row>
    <row r="7" spans="1:5">
      <c r="A7" s="27"/>
      <c r="B7" s="27"/>
      <c r="C7" s="27"/>
      <c r="D7" s="27"/>
      <c r="E7" s="27"/>
    </row>
    <row r="8" spans="1:5">
      <c r="A8" s="27"/>
      <c r="B8" s="27"/>
      <c r="C8" s="27"/>
      <c r="D8" s="27"/>
      <c r="E8" s="27"/>
    </row>
    <row r="14" spans="1:5" ht="15.75">
      <c r="A14" s="28" t="s">
        <v>64</v>
      </c>
      <c r="B14" s="28" t="s">
        <v>111</v>
      </c>
      <c r="C14" s="28" t="s">
        <v>107</v>
      </c>
      <c r="D14" s="28" t="s">
        <v>65</v>
      </c>
      <c r="E14" s="28" t="s">
        <v>66</v>
      </c>
    </row>
    <row r="15" spans="1:5">
      <c r="A15" s="29">
        <v>0</v>
      </c>
      <c r="B15" s="29" t="s">
        <v>124</v>
      </c>
      <c r="C15" s="29" t="s">
        <v>108</v>
      </c>
      <c r="D15" s="29">
        <v>20</v>
      </c>
      <c r="E15" s="116">
        <v>60</v>
      </c>
    </row>
    <row r="16" spans="1:5">
      <c r="A16" s="29">
        <v>1</v>
      </c>
      <c r="B16" s="29" t="s">
        <v>123</v>
      </c>
      <c r="C16" s="29" t="s">
        <v>109</v>
      </c>
      <c r="D16" s="29">
        <v>20</v>
      </c>
      <c r="E16" s="117"/>
    </row>
    <row r="17" spans="1:5">
      <c r="A17" s="29">
        <v>2</v>
      </c>
      <c r="B17" s="29" t="s">
        <v>112</v>
      </c>
      <c r="C17" s="29" t="s">
        <v>110</v>
      </c>
      <c r="D17" s="29">
        <v>20</v>
      </c>
      <c r="E17" s="118"/>
    </row>
    <row r="25" spans="1:5">
      <c r="B25" s="66"/>
      <c r="C25" s="66"/>
      <c r="D25" s="66"/>
    </row>
    <row r="26" spans="1:5">
      <c r="E26" s="67"/>
    </row>
  </sheetData>
  <customSheetViews>
    <customSheetView guid="{D28585A0-5D39-432E-81ED-6A20A7471F73}" showGridLines="0" topLeftCell="A4">
      <selection activeCell="I17" sqref="I17"/>
      <pageMargins left="0.7" right="0.7" top="0.75" bottom="0.75" header="0.3" footer="0.3"/>
      <pageSetup paperSize="9" orientation="portrait" r:id="rId1"/>
    </customSheetView>
    <customSheetView guid="{566BD698-1192-4E29-A1DB-0EA15F9BC81B}" showGridLines="0" topLeftCell="A4">
      <selection activeCell="I17" sqref="I17"/>
      <pageMargins left="0.7" right="0.7" top="0.75" bottom="0.75" header="0.3" footer="0.3"/>
      <pageSetup paperSize="9" orientation="portrait" r:id="rId2"/>
    </customSheetView>
  </customSheetViews>
  <mergeCells count="3">
    <mergeCell ref="A2:E2"/>
    <mergeCell ref="E4:E6"/>
    <mergeCell ref="E15:E17"/>
  </mergeCells>
  <phoneticPr fontId="10" type="noConversion"/>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4:D21"/>
  <sheetViews>
    <sheetView showGridLines="0" workbookViewId="0">
      <selection activeCell="C28" sqref="C28"/>
    </sheetView>
  </sheetViews>
  <sheetFormatPr defaultRowHeight="12.75"/>
  <cols>
    <col min="2" max="2" width="14.85546875" bestFit="1" customWidth="1"/>
    <col min="3" max="3" width="30" customWidth="1"/>
    <col min="4" max="4" width="96.7109375" customWidth="1"/>
  </cols>
  <sheetData>
    <row r="4" spans="2:4">
      <c r="B4" s="36"/>
      <c r="C4" s="36" t="s">
        <v>113</v>
      </c>
      <c r="D4" s="36" t="s">
        <v>114</v>
      </c>
    </row>
    <row r="5" spans="2:4" ht="38.25">
      <c r="B5" s="37">
        <v>1</v>
      </c>
      <c r="C5" s="37" t="s">
        <v>115</v>
      </c>
      <c r="D5" s="40" t="s">
        <v>117</v>
      </c>
    </row>
    <row r="6" spans="2:4" s="35" customFormat="1" ht="63.75">
      <c r="B6" s="38">
        <v>2</v>
      </c>
      <c r="C6" s="38" t="s">
        <v>116</v>
      </c>
      <c r="D6" s="39" t="s">
        <v>119</v>
      </c>
    </row>
    <row r="7" spans="2:4">
      <c r="B7" s="37">
        <v>3</v>
      </c>
      <c r="C7" s="37"/>
      <c r="D7" s="36"/>
    </row>
    <row r="8" spans="2:4">
      <c r="B8" s="37"/>
      <c r="C8" s="37"/>
      <c r="D8" s="36"/>
    </row>
    <row r="9" spans="2:4">
      <c r="B9" s="37"/>
      <c r="C9" s="37"/>
      <c r="D9" s="36"/>
    </row>
    <row r="10" spans="2:4">
      <c r="B10" s="37"/>
      <c r="C10" s="37"/>
      <c r="D10" s="36"/>
    </row>
    <row r="11" spans="2:4">
      <c r="B11" s="37"/>
      <c r="C11" s="37"/>
      <c r="D11" s="36"/>
    </row>
    <row r="12" spans="2:4">
      <c r="B12" s="37"/>
      <c r="C12" s="37"/>
      <c r="D12" s="36"/>
    </row>
    <row r="13" spans="2:4">
      <c r="B13" s="37"/>
      <c r="C13" s="37"/>
      <c r="D13" s="36"/>
    </row>
    <row r="14" spans="2:4">
      <c r="B14" s="37"/>
      <c r="C14" s="37"/>
      <c r="D14" s="36"/>
    </row>
    <row r="15" spans="2:4">
      <c r="B15" s="37"/>
      <c r="C15" s="37"/>
      <c r="D15" s="36"/>
    </row>
    <row r="16" spans="2:4">
      <c r="B16" s="37"/>
      <c r="C16" s="37"/>
      <c r="D16" s="36"/>
    </row>
    <row r="17" spans="2:3">
      <c r="B17" s="34"/>
      <c r="C17" s="34"/>
    </row>
    <row r="18" spans="2:3">
      <c r="B18" s="34"/>
      <c r="C18" s="34"/>
    </row>
    <row r="19" spans="2:3">
      <c r="B19" s="34"/>
      <c r="C19" s="34"/>
    </row>
    <row r="20" spans="2:3">
      <c r="B20" s="34"/>
      <c r="C20" s="34"/>
    </row>
    <row r="21" spans="2:3">
      <c r="B21" s="34"/>
      <c r="C21" s="34"/>
    </row>
  </sheetData>
  <customSheetViews>
    <customSheetView guid="{D28585A0-5D39-432E-81ED-6A20A7471F73}" showGridLines="0">
      <selection activeCell="C28" sqref="C28"/>
      <pageMargins left="0.7" right="0.7" top="0.75" bottom="0.75" header="0.3" footer="0.3"/>
      <pageSetup paperSize="9" orientation="portrait" r:id="rId1"/>
    </customSheetView>
    <customSheetView guid="{566BD698-1192-4E29-A1DB-0EA15F9BC81B}" showGridLines="0">
      <selection activeCell="C28" sqref="C28"/>
      <pageMargins left="0.7" right="0.7" top="0.75" bottom="0.75" header="0.3" footer="0.3"/>
      <pageSetup paperSize="9" orientation="portrait" r:id="rId2"/>
    </customSheetView>
  </customSheetViews>
  <phoneticPr fontId="10" type="noConversion"/>
  <pageMargins left="0.7" right="0.7" top="0.75" bottom="0.75" header="0.3" footer="0.3"/>
  <pageSetup paperSize="9"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9"/>
  <sheetViews>
    <sheetView zoomScale="85" zoomScaleNormal="85" workbookViewId="0">
      <selection activeCell="B4" sqref="B4:B7"/>
    </sheetView>
  </sheetViews>
  <sheetFormatPr defaultRowHeight="12.75"/>
  <cols>
    <col min="1" max="1" width="10.85546875" customWidth="1"/>
    <col min="2" max="2" width="19.28515625" customWidth="1"/>
    <col min="3" max="3" width="27" customWidth="1"/>
    <col min="4" max="4" width="23.42578125" customWidth="1"/>
    <col min="5" max="5" width="28" customWidth="1"/>
    <col min="6" max="6" width="9.140625" hidden="1" customWidth="1"/>
    <col min="7" max="7" width="17.85546875" hidden="1" customWidth="1"/>
    <col min="8" max="8" width="27.7109375" customWidth="1"/>
    <col min="9" max="9" width="28" customWidth="1"/>
    <col min="10" max="10" width="27" customWidth="1"/>
    <col min="11" max="11" width="24.28515625" customWidth="1"/>
    <col min="12" max="12" width="21.85546875" customWidth="1"/>
    <col min="13" max="13" width="27.28515625" customWidth="1"/>
    <col min="14" max="14" width="26.28515625" customWidth="1"/>
  </cols>
  <sheetData>
    <row r="1" spans="1:14" ht="20.25" customHeight="1">
      <c r="A1" s="58" t="s">
        <v>208</v>
      </c>
      <c r="B1" s="58" t="s">
        <v>209</v>
      </c>
      <c r="C1" s="58" t="s">
        <v>210</v>
      </c>
      <c r="D1" s="58" t="s">
        <v>179</v>
      </c>
      <c r="E1" s="58" t="s">
        <v>176</v>
      </c>
      <c r="F1" s="58" t="s">
        <v>177</v>
      </c>
      <c r="G1" s="58" t="s">
        <v>178</v>
      </c>
      <c r="H1" s="58" t="s">
        <v>179</v>
      </c>
      <c r="I1" s="58" t="s">
        <v>266</v>
      </c>
      <c r="J1" s="63" t="s">
        <v>267</v>
      </c>
      <c r="K1" s="58" t="s">
        <v>264</v>
      </c>
      <c r="L1" s="63" t="s">
        <v>265</v>
      </c>
      <c r="M1" s="58" t="s">
        <v>268</v>
      </c>
      <c r="N1" s="58" t="s">
        <v>269</v>
      </c>
    </row>
    <row r="2" spans="1:14" ht="33">
      <c r="A2" s="119" t="s">
        <v>167</v>
      </c>
      <c r="B2" s="120" t="s">
        <v>168</v>
      </c>
      <c r="C2" s="59" t="s">
        <v>180</v>
      </c>
      <c r="D2" s="122" t="s">
        <v>215</v>
      </c>
      <c r="E2" s="59" t="s">
        <v>181</v>
      </c>
      <c r="F2" s="59"/>
      <c r="G2" s="59"/>
      <c r="H2" s="59" t="s">
        <v>182</v>
      </c>
      <c r="I2" s="59" t="s">
        <v>224</v>
      </c>
      <c r="J2" s="59" t="s">
        <v>214</v>
      </c>
      <c r="K2" s="59" t="s">
        <v>224</v>
      </c>
      <c r="L2" s="59" t="s">
        <v>214</v>
      </c>
      <c r="M2" s="59" t="s">
        <v>224</v>
      </c>
      <c r="N2" s="59" t="s">
        <v>270</v>
      </c>
    </row>
    <row r="3" spans="1:14" ht="33" customHeight="1">
      <c r="A3" s="119"/>
      <c r="B3" s="120"/>
      <c r="C3" s="59" t="s">
        <v>169</v>
      </c>
      <c r="D3" s="123"/>
      <c r="E3" s="59" t="s">
        <v>183</v>
      </c>
      <c r="F3" s="59"/>
      <c r="G3" s="59"/>
      <c r="H3" s="59" t="s">
        <v>184</v>
      </c>
      <c r="I3" s="59" t="s">
        <v>213</v>
      </c>
      <c r="J3" s="59" t="s">
        <v>214</v>
      </c>
      <c r="K3" s="59" t="s">
        <v>213</v>
      </c>
      <c r="L3" s="59" t="s">
        <v>214</v>
      </c>
      <c r="M3" s="59" t="s">
        <v>213</v>
      </c>
      <c r="N3" s="59" t="s">
        <v>270</v>
      </c>
    </row>
    <row r="4" spans="1:14" ht="82.5" customHeight="1">
      <c r="A4" s="119"/>
      <c r="B4" s="121" t="s">
        <v>217</v>
      </c>
      <c r="C4" s="59" t="s">
        <v>216</v>
      </c>
      <c r="D4" s="71" t="s">
        <v>243</v>
      </c>
      <c r="E4" s="59" t="s">
        <v>185</v>
      </c>
      <c r="F4" s="59"/>
      <c r="G4" s="59"/>
      <c r="H4" s="71" t="s">
        <v>243</v>
      </c>
      <c r="I4" s="122" t="s">
        <v>213</v>
      </c>
      <c r="J4" s="122" t="s">
        <v>225</v>
      </c>
      <c r="K4" s="122" t="s">
        <v>213</v>
      </c>
      <c r="L4" s="125" t="s">
        <v>242</v>
      </c>
      <c r="M4" s="95" t="s">
        <v>213</v>
      </c>
      <c r="N4" s="95" t="s">
        <v>241</v>
      </c>
    </row>
    <row r="5" spans="1:14" ht="33" customHeight="1">
      <c r="A5" s="119"/>
      <c r="B5" s="121"/>
      <c r="C5" s="59" t="s">
        <v>223</v>
      </c>
      <c r="D5" s="71" t="s">
        <v>244</v>
      </c>
      <c r="E5" s="59" t="s">
        <v>240</v>
      </c>
      <c r="F5" s="59"/>
      <c r="G5" s="59"/>
      <c r="H5" s="71" t="s">
        <v>244</v>
      </c>
      <c r="I5" s="123"/>
      <c r="J5" s="123"/>
      <c r="K5" s="123"/>
      <c r="L5" s="126"/>
      <c r="M5" s="96"/>
      <c r="N5" s="96"/>
    </row>
    <row r="6" spans="1:14" ht="27.75" customHeight="1">
      <c r="A6" s="119"/>
      <c r="B6" s="121"/>
      <c r="C6" s="69" t="s">
        <v>170</v>
      </c>
      <c r="D6" s="71"/>
      <c r="E6" s="69" t="s">
        <v>170</v>
      </c>
      <c r="F6" s="59"/>
      <c r="G6" s="59"/>
      <c r="H6" s="71"/>
      <c r="I6" s="123"/>
      <c r="J6" s="123"/>
      <c r="K6" s="123"/>
      <c r="L6" s="126"/>
      <c r="M6" s="96"/>
      <c r="N6" s="96"/>
    </row>
    <row r="7" spans="1:14" ht="20.25" customHeight="1">
      <c r="A7" s="119"/>
      <c r="B7" s="121"/>
      <c r="C7" s="69" t="s">
        <v>171</v>
      </c>
      <c r="D7" s="71"/>
      <c r="E7" s="69" t="s">
        <v>229</v>
      </c>
      <c r="F7" s="59"/>
      <c r="G7" s="59"/>
      <c r="H7" s="71"/>
      <c r="I7" s="124"/>
      <c r="J7" s="124"/>
      <c r="K7" s="124"/>
      <c r="L7" s="127"/>
      <c r="M7" s="97"/>
      <c r="N7" s="97"/>
    </row>
    <row r="8" spans="1:14" ht="33">
      <c r="A8" s="119"/>
      <c r="B8" s="60" t="s">
        <v>186</v>
      </c>
      <c r="C8" s="59" t="s">
        <v>172</v>
      </c>
      <c r="D8" s="61" t="s">
        <v>219</v>
      </c>
      <c r="E8" s="59" t="s">
        <v>187</v>
      </c>
      <c r="F8" s="59"/>
      <c r="G8" s="59"/>
      <c r="H8" s="59" t="s">
        <v>188</v>
      </c>
      <c r="I8" s="59" t="s">
        <v>213</v>
      </c>
      <c r="J8" s="59" t="s">
        <v>226</v>
      </c>
      <c r="K8" s="59" t="s">
        <v>213</v>
      </c>
      <c r="L8" s="59" t="s">
        <v>226</v>
      </c>
      <c r="M8" s="59" t="s">
        <v>213</v>
      </c>
      <c r="N8" s="59" t="s">
        <v>270</v>
      </c>
    </row>
    <row r="9" spans="1:14" ht="33">
      <c r="A9" s="119"/>
      <c r="B9" s="120" t="s">
        <v>189</v>
      </c>
      <c r="C9" s="59" t="s">
        <v>173</v>
      </c>
      <c r="D9" s="125" t="s">
        <v>218</v>
      </c>
      <c r="E9" s="59" t="s">
        <v>173</v>
      </c>
      <c r="F9" s="59"/>
      <c r="G9" s="59"/>
      <c r="H9" s="59" t="s">
        <v>190</v>
      </c>
      <c r="I9" s="122" t="s">
        <v>213</v>
      </c>
      <c r="J9" s="122" t="s">
        <v>227</v>
      </c>
      <c r="K9" s="122" t="s">
        <v>213</v>
      </c>
      <c r="L9" s="122" t="s">
        <v>227</v>
      </c>
      <c r="M9" s="95" t="s">
        <v>213</v>
      </c>
      <c r="N9" s="59" t="s">
        <v>270</v>
      </c>
    </row>
    <row r="10" spans="1:14" ht="16.5">
      <c r="A10" s="119"/>
      <c r="B10" s="120"/>
      <c r="C10" s="59" t="s">
        <v>174</v>
      </c>
      <c r="D10" s="126"/>
      <c r="E10" s="59" t="s">
        <v>191</v>
      </c>
      <c r="F10" s="59"/>
      <c r="G10" s="59"/>
      <c r="H10" s="59" t="s">
        <v>190</v>
      </c>
      <c r="I10" s="123"/>
      <c r="J10" s="123"/>
      <c r="K10" s="123"/>
      <c r="L10" s="123"/>
      <c r="M10" s="96"/>
      <c r="N10" s="96"/>
    </row>
    <row r="11" spans="1:14" ht="16.5">
      <c r="A11" s="119"/>
      <c r="B11" s="120"/>
      <c r="C11" s="65" t="s">
        <v>228</v>
      </c>
      <c r="D11" s="127"/>
      <c r="E11" s="65" t="s">
        <v>192</v>
      </c>
      <c r="F11" s="59"/>
      <c r="G11" s="59"/>
      <c r="H11" s="59" t="s">
        <v>193</v>
      </c>
      <c r="I11" s="124"/>
      <c r="J11" s="124"/>
      <c r="K11" s="124"/>
      <c r="L11" s="124"/>
      <c r="M11" s="97"/>
      <c r="N11" s="97"/>
    </row>
    <row r="12" spans="1:14" ht="33">
      <c r="A12" s="119" t="s">
        <v>175</v>
      </c>
      <c r="B12" s="60" t="s">
        <v>194</v>
      </c>
      <c r="C12" s="59" t="s">
        <v>236</v>
      </c>
      <c r="D12" s="62" t="s">
        <v>220</v>
      </c>
      <c r="E12" s="59" t="s">
        <v>195</v>
      </c>
      <c r="F12" s="59"/>
      <c r="G12" s="59"/>
      <c r="H12" s="59" t="s">
        <v>196</v>
      </c>
      <c r="I12" s="59" t="s">
        <v>213</v>
      </c>
      <c r="J12" s="59" t="s">
        <v>231</v>
      </c>
      <c r="K12" s="59" t="s">
        <v>241</v>
      </c>
      <c r="L12" s="59" t="s">
        <v>241</v>
      </c>
      <c r="M12" s="59" t="s">
        <v>213</v>
      </c>
      <c r="N12" s="59" t="s">
        <v>231</v>
      </c>
    </row>
    <row r="13" spans="1:14" ht="33">
      <c r="A13" s="119"/>
      <c r="B13" s="120" t="s">
        <v>197</v>
      </c>
      <c r="C13" s="59" t="s">
        <v>234</v>
      </c>
      <c r="D13" s="125" t="s">
        <v>221</v>
      </c>
      <c r="E13" s="59" t="s">
        <v>198</v>
      </c>
      <c r="F13" s="59"/>
      <c r="G13" s="59"/>
      <c r="H13" s="59" t="s">
        <v>199</v>
      </c>
      <c r="I13" s="122" t="s">
        <v>230</v>
      </c>
      <c r="J13" s="122" t="s">
        <v>232</v>
      </c>
      <c r="K13" s="122" t="s">
        <v>241</v>
      </c>
      <c r="L13" s="122" t="s">
        <v>241</v>
      </c>
      <c r="M13" s="95" t="s">
        <v>213</v>
      </c>
      <c r="N13" s="95" t="s">
        <v>232</v>
      </c>
    </row>
    <row r="14" spans="1:14" ht="16.5">
      <c r="A14" s="119"/>
      <c r="B14" s="120"/>
      <c r="C14" s="59" t="s">
        <v>200</v>
      </c>
      <c r="D14" s="126"/>
      <c r="E14" s="59" t="s">
        <v>200</v>
      </c>
      <c r="F14" s="59"/>
      <c r="G14" s="59"/>
      <c r="H14" s="59" t="s">
        <v>199</v>
      </c>
      <c r="I14" s="123"/>
      <c r="J14" s="123"/>
      <c r="K14" s="123"/>
      <c r="L14" s="123"/>
      <c r="M14" s="96"/>
      <c r="N14" s="96"/>
    </row>
    <row r="15" spans="1:14" ht="16.5">
      <c r="A15" s="119"/>
      <c r="B15" s="120"/>
      <c r="C15" s="69" t="s">
        <v>238</v>
      </c>
      <c r="D15" s="126"/>
      <c r="E15" s="69" t="s">
        <v>201</v>
      </c>
      <c r="F15" s="59"/>
      <c r="G15" s="59"/>
      <c r="H15" s="59" t="s">
        <v>199</v>
      </c>
      <c r="I15" s="123"/>
      <c r="J15" s="123"/>
      <c r="K15" s="123"/>
      <c r="L15" s="123"/>
      <c r="M15" s="96"/>
      <c r="N15" s="96"/>
    </row>
    <row r="16" spans="1:14" ht="33">
      <c r="A16" s="119"/>
      <c r="B16" s="120"/>
      <c r="C16" s="70" t="s">
        <v>235</v>
      </c>
      <c r="D16" s="126"/>
      <c r="E16" s="70" t="s">
        <v>202</v>
      </c>
      <c r="F16" s="59"/>
      <c r="G16" s="59"/>
      <c r="H16" s="59" t="s">
        <v>199</v>
      </c>
      <c r="I16" s="123"/>
      <c r="J16" s="123"/>
      <c r="K16" s="123"/>
      <c r="L16" s="123"/>
      <c r="M16" s="96"/>
      <c r="N16" s="96"/>
    </row>
    <row r="17" spans="1:14" ht="16.5">
      <c r="A17" s="119"/>
      <c r="B17" s="120"/>
      <c r="C17" s="59" t="s">
        <v>203</v>
      </c>
      <c r="D17" s="127"/>
      <c r="E17" s="59" t="s">
        <v>203</v>
      </c>
      <c r="F17" s="59"/>
      <c r="G17" s="59"/>
      <c r="H17" s="59" t="s">
        <v>204</v>
      </c>
      <c r="I17" s="124"/>
      <c r="J17" s="124"/>
      <c r="K17" s="124"/>
      <c r="L17" s="124"/>
      <c r="M17" s="97"/>
      <c r="N17" s="97"/>
    </row>
    <row r="18" spans="1:14" ht="33">
      <c r="A18" s="119"/>
      <c r="B18" s="60" t="s">
        <v>205</v>
      </c>
      <c r="C18" s="59" t="s">
        <v>237</v>
      </c>
      <c r="D18" s="64" t="s">
        <v>222</v>
      </c>
      <c r="E18" s="62" t="s">
        <v>206</v>
      </c>
      <c r="F18" s="59"/>
      <c r="G18" s="59"/>
      <c r="H18" s="59" t="s">
        <v>207</v>
      </c>
      <c r="I18" s="59" t="s">
        <v>230</v>
      </c>
      <c r="J18" s="59" t="s">
        <v>233</v>
      </c>
      <c r="K18" s="59" t="s">
        <v>241</v>
      </c>
      <c r="L18" s="59" t="s">
        <v>241</v>
      </c>
      <c r="M18" s="59" t="s">
        <v>213</v>
      </c>
      <c r="N18" s="59" t="s">
        <v>233</v>
      </c>
    </row>
    <row r="19" spans="1:14" ht="16.5">
      <c r="A19" s="128"/>
      <c r="B19" s="129"/>
      <c r="C19" s="130"/>
      <c r="D19" s="130"/>
      <c r="E19" s="130"/>
      <c r="F19" s="130"/>
      <c r="G19" s="130"/>
      <c r="H19" s="130"/>
      <c r="I19" s="130"/>
      <c r="J19" s="130"/>
      <c r="K19" s="130"/>
      <c r="L19" s="130"/>
      <c r="M19" s="130"/>
      <c r="N19" s="130"/>
    </row>
  </sheetData>
  <customSheetViews>
    <customSheetView guid="{D28585A0-5D39-432E-81ED-6A20A7471F73}" scale="85" hiddenColumns="1" state="hidden">
      <selection activeCell="B4" sqref="B4:B7"/>
      <pageMargins left="0.7" right="0.7" top="0.75" bottom="0.75" header="0.3" footer="0.3"/>
      <pageSetup paperSize="9" orientation="portrait" horizontalDpi="90" verticalDpi="90" r:id="rId1"/>
    </customSheetView>
    <customSheetView guid="{566BD698-1192-4E29-A1DB-0EA15F9BC81B}" scale="85" hiddenColumns="1">
      <selection activeCell="J13" sqref="J13:J17"/>
      <pageMargins left="0.7" right="0.7" top="0.75" bottom="0.75" header="0.3" footer="0.3"/>
      <pageSetup paperSize="9" orientation="portrait" horizontalDpi="90" verticalDpi="90" r:id="rId2"/>
    </customSheetView>
  </customSheetViews>
  <mergeCells count="21">
    <mergeCell ref="J4:J7"/>
    <mergeCell ref="I13:I17"/>
    <mergeCell ref="J13:J17"/>
    <mergeCell ref="I9:I11"/>
    <mergeCell ref="J9:J11"/>
    <mergeCell ref="A12:A18"/>
    <mergeCell ref="B2:B3"/>
    <mergeCell ref="B4:B7"/>
    <mergeCell ref="K4:K7"/>
    <mergeCell ref="L4:L7"/>
    <mergeCell ref="K9:K11"/>
    <mergeCell ref="L9:L11"/>
    <mergeCell ref="K13:K17"/>
    <mergeCell ref="L13:L17"/>
    <mergeCell ref="A2:A11"/>
    <mergeCell ref="D2:D3"/>
    <mergeCell ref="B9:B11"/>
    <mergeCell ref="D9:D11"/>
    <mergeCell ref="B13:B17"/>
    <mergeCell ref="D13:D17"/>
    <mergeCell ref="I4:I7"/>
  </mergeCells>
  <phoneticPr fontId="23" type="noConversion"/>
  <pageMargins left="0.7" right="0.7" top="0.75" bottom="0.75" header="0.3" footer="0.3"/>
  <pageSetup paperSize="9" orientation="portrait" horizontalDpi="90" verticalDpi="9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04F02-616D-45A1-8B33-C64EF37A529E}">
  <dimension ref="A1:N19"/>
  <sheetViews>
    <sheetView tabSelected="1" zoomScale="70" zoomScaleNormal="70" workbookViewId="0">
      <selection activeCell="H21" sqref="H21"/>
    </sheetView>
  </sheetViews>
  <sheetFormatPr defaultRowHeight="12.75"/>
  <cols>
    <col min="1" max="1" width="10.85546875" customWidth="1"/>
    <col min="2" max="2" width="19.28515625" customWidth="1"/>
    <col min="3" max="3" width="21.7109375" customWidth="1"/>
    <col min="4" max="4" width="25.28515625" customWidth="1"/>
    <col min="5" max="5" width="25.42578125" customWidth="1"/>
    <col min="6" max="7" width="0" hidden="1" customWidth="1"/>
    <col min="8" max="8" width="26.140625" customWidth="1"/>
    <col min="9" max="9" width="40.42578125" customWidth="1"/>
    <col min="10" max="10" width="19" customWidth="1"/>
    <col min="11" max="11" width="25.5703125" customWidth="1"/>
    <col min="12" max="12" width="17.42578125" customWidth="1"/>
    <col min="13" max="13" width="29.140625" customWidth="1"/>
    <col min="14" max="14" width="29.5703125" customWidth="1"/>
  </cols>
  <sheetData>
    <row r="1" spans="1:14" ht="33">
      <c r="A1" s="58" t="s">
        <v>208</v>
      </c>
      <c r="B1" s="58" t="s">
        <v>209</v>
      </c>
      <c r="C1" s="58" t="s">
        <v>210</v>
      </c>
      <c r="D1" s="58" t="s">
        <v>179</v>
      </c>
      <c r="E1" s="58" t="s">
        <v>176</v>
      </c>
      <c r="F1" s="58" t="s">
        <v>177</v>
      </c>
      <c r="G1" s="58" t="s">
        <v>178</v>
      </c>
      <c r="H1" s="58" t="s">
        <v>179</v>
      </c>
      <c r="I1" s="58" t="s">
        <v>266</v>
      </c>
      <c r="J1" s="63" t="s">
        <v>267</v>
      </c>
      <c r="K1" s="58" t="s">
        <v>264</v>
      </c>
      <c r="L1" s="63" t="s">
        <v>265</v>
      </c>
      <c r="M1" s="58" t="s">
        <v>268</v>
      </c>
      <c r="N1" s="58" t="s">
        <v>269</v>
      </c>
    </row>
    <row r="2" spans="1:14" ht="33">
      <c r="A2" s="151" t="s">
        <v>167</v>
      </c>
      <c r="B2" s="158" t="s">
        <v>168</v>
      </c>
      <c r="C2" s="59" t="s">
        <v>180</v>
      </c>
      <c r="D2" s="95" t="s">
        <v>215</v>
      </c>
      <c r="E2" s="59" t="s">
        <v>181</v>
      </c>
      <c r="F2" s="59"/>
      <c r="G2" s="59"/>
      <c r="H2" s="59" t="s">
        <v>182</v>
      </c>
      <c r="I2" s="59" t="s">
        <v>224</v>
      </c>
      <c r="J2" s="59" t="s">
        <v>214</v>
      </c>
      <c r="K2" s="59" t="s">
        <v>224</v>
      </c>
      <c r="L2" s="59" t="s">
        <v>214</v>
      </c>
      <c r="M2" s="59" t="s">
        <v>224</v>
      </c>
      <c r="N2" s="59" t="s">
        <v>270</v>
      </c>
    </row>
    <row r="3" spans="1:14" ht="33">
      <c r="A3" s="152"/>
      <c r="B3" s="154"/>
      <c r="C3" s="59" t="s">
        <v>169</v>
      </c>
      <c r="D3" s="96"/>
      <c r="E3" s="59" t="s">
        <v>183</v>
      </c>
      <c r="F3" s="59"/>
      <c r="G3" s="59"/>
      <c r="H3" s="59" t="s">
        <v>184</v>
      </c>
      <c r="I3" s="59" t="s">
        <v>213</v>
      </c>
      <c r="J3" s="59" t="s">
        <v>214</v>
      </c>
      <c r="K3" s="59" t="s">
        <v>213</v>
      </c>
      <c r="L3" s="59" t="s">
        <v>214</v>
      </c>
      <c r="M3" s="59" t="s">
        <v>213</v>
      </c>
      <c r="N3" s="59" t="s">
        <v>270</v>
      </c>
    </row>
    <row r="4" spans="1:14" ht="33">
      <c r="A4" s="159"/>
      <c r="B4" s="163" t="s">
        <v>217</v>
      </c>
      <c r="C4" s="160" t="s">
        <v>216</v>
      </c>
      <c r="D4" s="71" t="s">
        <v>243</v>
      </c>
      <c r="E4" s="59" t="s">
        <v>185</v>
      </c>
      <c r="F4" s="59"/>
      <c r="G4" s="59"/>
      <c r="H4" s="71" t="s">
        <v>243</v>
      </c>
      <c r="I4" s="95" t="s">
        <v>213</v>
      </c>
      <c r="J4" s="95" t="s">
        <v>225</v>
      </c>
      <c r="K4" s="95" t="s">
        <v>213</v>
      </c>
      <c r="L4" s="99" t="s">
        <v>242</v>
      </c>
      <c r="M4" s="95" t="s">
        <v>213</v>
      </c>
      <c r="N4" s="95" t="s">
        <v>241</v>
      </c>
    </row>
    <row r="5" spans="1:14" ht="16.5">
      <c r="A5" s="159"/>
      <c r="B5" s="164"/>
      <c r="C5" s="160" t="s">
        <v>223</v>
      </c>
      <c r="D5" s="71" t="s">
        <v>243</v>
      </c>
      <c r="E5" s="59" t="s">
        <v>223</v>
      </c>
      <c r="F5" s="59"/>
      <c r="G5" s="59"/>
      <c r="H5" s="71" t="s">
        <v>243</v>
      </c>
      <c r="I5" s="96"/>
      <c r="J5" s="96"/>
      <c r="K5" s="96"/>
      <c r="L5" s="100"/>
      <c r="M5" s="96"/>
      <c r="N5" s="96"/>
    </row>
    <row r="6" spans="1:14" ht="16.5">
      <c r="A6" s="159"/>
      <c r="B6" s="164"/>
      <c r="C6" s="161" t="s">
        <v>170</v>
      </c>
      <c r="D6" s="71"/>
      <c r="E6" s="69" t="s">
        <v>170</v>
      </c>
      <c r="F6" s="59"/>
      <c r="G6" s="59"/>
      <c r="H6" s="71"/>
      <c r="I6" s="96"/>
      <c r="J6" s="96"/>
      <c r="K6" s="96"/>
      <c r="L6" s="100"/>
      <c r="M6" s="96"/>
      <c r="N6" s="96"/>
    </row>
    <row r="7" spans="1:14" ht="16.5">
      <c r="A7" s="159"/>
      <c r="B7" s="165"/>
      <c r="C7" s="161" t="s">
        <v>171</v>
      </c>
      <c r="D7" s="71"/>
      <c r="E7" s="69" t="s">
        <v>229</v>
      </c>
      <c r="F7" s="59"/>
      <c r="G7" s="59"/>
      <c r="H7" s="71"/>
      <c r="I7" s="97"/>
      <c r="J7" s="97"/>
      <c r="K7" s="97"/>
      <c r="L7" s="101"/>
      <c r="M7" s="97"/>
      <c r="N7" s="97"/>
    </row>
    <row r="8" spans="1:14" ht="33">
      <c r="A8" s="152"/>
      <c r="B8" s="98" t="s">
        <v>186</v>
      </c>
      <c r="C8" s="59" t="s">
        <v>172</v>
      </c>
      <c r="D8" s="95" t="s">
        <v>219</v>
      </c>
      <c r="E8" s="59" t="s">
        <v>187</v>
      </c>
      <c r="F8" s="59"/>
      <c r="G8" s="59"/>
      <c r="H8" s="59" t="s">
        <v>188</v>
      </c>
      <c r="I8" s="59" t="s">
        <v>213</v>
      </c>
      <c r="J8" s="59" t="s">
        <v>226</v>
      </c>
      <c r="K8" s="59" t="s">
        <v>213</v>
      </c>
      <c r="L8" s="59" t="s">
        <v>226</v>
      </c>
      <c r="M8" s="59" t="s">
        <v>213</v>
      </c>
      <c r="N8" s="59" t="s">
        <v>270</v>
      </c>
    </row>
    <row r="9" spans="1:14" ht="33">
      <c r="A9" s="152"/>
      <c r="B9" s="158" t="s">
        <v>189</v>
      </c>
      <c r="C9" s="59" t="s">
        <v>173</v>
      </c>
      <c r="D9" s="99" t="s">
        <v>218</v>
      </c>
      <c r="E9" s="59" t="s">
        <v>173</v>
      </c>
      <c r="F9" s="59"/>
      <c r="G9" s="59"/>
      <c r="H9" s="59" t="s">
        <v>190</v>
      </c>
      <c r="I9" s="95" t="s">
        <v>213</v>
      </c>
      <c r="J9" s="95" t="s">
        <v>227</v>
      </c>
      <c r="K9" s="95" t="s">
        <v>213</v>
      </c>
      <c r="L9" s="95" t="s">
        <v>227</v>
      </c>
      <c r="M9" s="95" t="s">
        <v>213</v>
      </c>
      <c r="N9" s="59" t="s">
        <v>270</v>
      </c>
    </row>
    <row r="10" spans="1:14" ht="16.5">
      <c r="A10" s="152"/>
      <c r="B10" s="162"/>
      <c r="C10" s="59" t="s">
        <v>174</v>
      </c>
      <c r="D10" s="100"/>
      <c r="E10" s="59" t="s">
        <v>191</v>
      </c>
      <c r="F10" s="59"/>
      <c r="G10" s="59"/>
      <c r="H10" s="59" t="s">
        <v>190</v>
      </c>
      <c r="I10" s="96"/>
      <c r="J10" s="96"/>
      <c r="K10" s="96"/>
      <c r="L10" s="96"/>
      <c r="M10" s="96"/>
      <c r="N10" s="96"/>
    </row>
    <row r="11" spans="1:14" ht="16.5">
      <c r="A11" s="153"/>
      <c r="B11" s="154"/>
      <c r="C11" s="65" t="s">
        <v>228</v>
      </c>
      <c r="D11" s="149"/>
      <c r="E11" s="65" t="s">
        <v>192</v>
      </c>
      <c r="F11" s="59"/>
      <c r="G11" s="59"/>
      <c r="H11" s="59" t="s">
        <v>193</v>
      </c>
      <c r="I11" s="97"/>
      <c r="J11" s="97"/>
      <c r="K11" s="97"/>
      <c r="L11" s="97"/>
      <c r="M11" s="97"/>
      <c r="N11" s="97"/>
    </row>
    <row r="12" spans="1:14" ht="33">
      <c r="A12" s="155" t="s">
        <v>175</v>
      </c>
      <c r="B12" s="98" t="s">
        <v>194</v>
      </c>
      <c r="C12" s="131" t="s">
        <v>195</v>
      </c>
      <c r="D12" s="132" t="s">
        <v>220</v>
      </c>
      <c r="E12" s="131" t="s">
        <v>195</v>
      </c>
      <c r="F12" s="131"/>
      <c r="G12" s="131"/>
      <c r="H12" s="131" t="s">
        <v>196</v>
      </c>
      <c r="I12" s="131" t="s">
        <v>213</v>
      </c>
      <c r="J12" s="131" t="s">
        <v>231</v>
      </c>
      <c r="K12" s="131" t="s">
        <v>241</v>
      </c>
      <c r="L12" s="131" t="s">
        <v>241</v>
      </c>
      <c r="M12" s="131" t="s">
        <v>213</v>
      </c>
      <c r="N12" s="131" t="s">
        <v>231</v>
      </c>
    </row>
    <row r="13" spans="1:14" ht="33">
      <c r="A13" s="156"/>
      <c r="B13" s="166" t="s">
        <v>197</v>
      </c>
      <c r="C13" s="131" t="s">
        <v>234</v>
      </c>
      <c r="D13" s="133" t="s">
        <v>221</v>
      </c>
      <c r="E13" s="131" t="s">
        <v>198</v>
      </c>
      <c r="F13" s="131"/>
      <c r="G13" s="131"/>
      <c r="H13" s="131" t="s">
        <v>199</v>
      </c>
      <c r="I13" s="136" t="s">
        <v>213</v>
      </c>
      <c r="J13" s="136" t="s">
        <v>232</v>
      </c>
      <c r="K13" s="136" t="s">
        <v>241</v>
      </c>
      <c r="L13" s="136" t="s">
        <v>241</v>
      </c>
      <c r="M13" s="136" t="s">
        <v>213</v>
      </c>
      <c r="N13" s="136" t="s">
        <v>232</v>
      </c>
    </row>
    <row r="14" spans="1:14" ht="16.5">
      <c r="A14" s="156"/>
      <c r="B14" s="167"/>
      <c r="C14" s="131" t="s">
        <v>200</v>
      </c>
      <c r="D14" s="134"/>
      <c r="E14" s="131" t="s">
        <v>200</v>
      </c>
      <c r="F14" s="131"/>
      <c r="G14" s="131"/>
      <c r="H14" s="131" t="s">
        <v>199</v>
      </c>
      <c r="I14" s="137"/>
      <c r="J14" s="137"/>
      <c r="K14" s="137"/>
      <c r="L14" s="137"/>
      <c r="M14" s="137"/>
      <c r="N14" s="137"/>
    </row>
    <row r="15" spans="1:14" ht="16.5">
      <c r="A15" s="156"/>
      <c r="B15" s="167"/>
      <c r="C15" s="145" t="s">
        <v>238</v>
      </c>
      <c r="D15" s="146"/>
      <c r="E15" s="147" t="s">
        <v>201</v>
      </c>
      <c r="F15" s="131"/>
      <c r="G15" s="131"/>
      <c r="H15" s="131" t="s">
        <v>199</v>
      </c>
      <c r="I15" s="137"/>
      <c r="J15" s="137"/>
      <c r="K15" s="137"/>
      <c r="L15" s="137"/>
      <c r="M15" s="137"/>
      <c r="N15" s="137"/>
    </row>
    <row r="16" spans="1:14" ht="33">
      <c r="A16" s="156"/>
      <c r="B16" s="168"/>
      <c r="C16" s="135" t="s">
        <v>235</v>
      </c>
      <c r="D16" s="148"/>
      <c r="E16" s="140" t="s">
        <v>202</v>
      </c>
      <c r="F16" s="139"/>
      <c r="G16" s="136"/>
      <c r="H16" s="136" t="s">
        <v>199</v>
      </c>
      <c r="I16" s="137"/>
      <c r="J16" s="132"/>
      <c r="K16" s="132"/>
      <c r="L16" s="132"/>
      <c r="M16" s="132"/>
      <c r="N16" s="132"/>
    </row>
    <row r="17" spans="1:14" ht="33">
      <c r="A17" s="156"/>
      <c r="B17" s="158"/>
      <c r="C17" s="138" t="s">
        <v>203</v>
      </c>
      <c r="D17" s="144" t="s">
        <v>272</v>
      </c>
      <c r="E17" s="131" t="s">
        <v>203</v>
      </c>
      <c r="F17" s="139"/>
      <c r="G17" s="141"/>
      <c r="H17" s="136" t="s">
        <v>207</v>
      </c>
      <c r="I17" s="142" t="s">
        <v>273</v>
      </c>
      <c r="J17" s="136" t="s">
        <v>274</v>
      </c>
      <c r="K17" s="136" t="s">
        <v>275</v>
      </c>
      <c r="L17" s="136" t="s">
        <v>275</v>
      </c>
      <c r="M17" s="136" t="s">
        <v>273</v>
      </c>
      <c r="N17" s="136" t="s">
        <v>274</v>
      </c>
    </row>
    <row r="18" spans="1:14" ht="33">
      <c r="A18" s="157"/>
      <c r="B18" s="154" t="s">
        <v>205</v>
      </c>
      <c r="C18" s="138" t="s">
        <v>237</v>
      </c>
      <c r="D18" s="143" t="s">
        <v>271</v>
      </c>
      <c r="E18" s="131" t="s">
        <v>206</v>
      </c>
      <c r="F18" s="143"/>
      <c r="G18" s="143"/>
      <c r="H18" s="132"/>
      <c r="I18" s="143"/>
      <c r="J18" s="132"/>
      <c r="K18" s="132"/>
      <c r="L18" s="132"/>
      <c r="M18" s="132"/>
      <c r="N18" s="132"/>
    </row>
    <row r="19" spans="1:14" ht="16.5">
      <c r="A19" s="128"/>
      <c r="B19" s="129"/>
    </row>
  </sheetData>
  <customSheetViews>
    <customSheetView guid="{D28585A0-5D39-432E-81ED-6A20A7471F73}" scale="70" hiddenColumns="1">
      <selection activeCell="D30" sqref="D30"/>
      <pageMargins left="0.7" right="0.7" top="0.75" bottom="0.75" header="0.3" footer="0.3"/>
      <pageSetup paperSize="9" orientation="portrait" horizontalDpi="90" verticalDpi="90" r:id="rId1"/>
    </customSheetView>
  </customSheetViews>
  <phoneticPr fontId="10" type="noConversion"/>
  <pageMargins left="0.7" right="0.7" top="0.75" bottom="0.75" header="0.3" footer="0.3"/>
  <pageSetup paperSize="9" orientation="portrait" horizontalDpi="90" verticalDpi="9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20A07-66EF-4F58-A7F9-3FA9FC697E43}">
  <dimension ref="A1:AB11"/>
  <sheetViews>
    <sheetView workbookViewId="0">
      <selection activeCell="A17" sqref="A17"/>
    </sheetView>
  </sheetViews>
  <sheetFormatPr defaultRowHeight="12.75"/>
  <cols>
    <col min="1" max="1" width="9.140625" style="79"/>
    <col min="2" max="2" width="15.7109375" customWidth="1"/>
    <col min="3" max="3" width="10.7109375" customWidth="1"/>
    <col min="4" max="4" width="15.140625" customWidth="1"/>
    <col min="5" max="5" width="12.42578125" customWidth="1"/>
    <col min="6" max="6" width="18" customWidth="1"/>
    <col min="17" max="17" width="12.28515625" customWidth="1"/>
    <col min="18" max="18" width="10.7109375" customWidth="1"/>
    <col min="19" max="19" width="13.5703125" customWidth="1"/>
    <col min="25" max="25" width="29.85546875" customWidth="1"/>
    <col min="27" max="27" width="13.7109375" customWidth="1"/>
    <col min="28" max="28" width="11.7109375" customWidth="1"/>
  </cols>
  <sheetData>
    <row r="1" spans="1:28" ht="38.25">
      <c r="A1" s="87" t="s">
        <v>259</v>
      </c>
      <c r="B1" s="87" t="s">
        <v>260</v>
      </c>
      <c r="C1" s="77" t="s">
        <v>0</v>
      </c>
      <c r="D1" s="75" t="s">
        <v>8</v>
      </c>
      <c r="E1" s="75" t="s">
        <v>7</v>
      </c>
      <c r="F1" s="77" t="s">
        <v>1</v>
      </c>
      <c r="G1" s="77" t="s">
        <v>2</v>
      </c>
      <c r="H1" s="77" t="s">
        <v>16</v>
      </c>
      <c r="I1" s="75" t="s">
        <v>3</v>
      </c>
      <c r="J1" s="75" t="s">
        <v>12</v>
      </c>
      <c r="K1" s="75" t="s">
        <v>96</v>
      </c>
      <c r="L1" s="75" t="s">
        <v>14</v>
      </c>
      <c r="M1" s="75" t="s">
        <v>13</v>
      </c>
      <c r="N1" s="75" t="s">
        <v>19</v>
      </c>
      <c r="O1" s="75" t="s">
        <v>4</v>
      </c>
      <c r="P1" s="75" t="s">
        <v>17</v>
      </c>
      <c r="Q1" s="75" t="s">
        <v>18</v>
      </c>
      <c r="R1" s="75" t="s">
        <v>94</v>
      </c>
      <c r="S1" s="75" t="s">
        <v>20</v>
      </c>
      <c r="T1" s="75" t="s">
        <v>21</v>
      </c>
      <c r="U1" s="75" t="s">
        <v>9</v>
      </c>
      <c r="V1" s="75" t="s">
        <v>10</v>
      </c>
      <c r="W1" s="75" t="s">
        <v>11</v>
      </c>
      <c r="X1" s="75" t="s">
        <v>22</v>
      </c>
      <c r="Y1" s="75" t="s">
        <v>15</v>
      </c>
      <c r="Z1" s="77" t="s">
        <v>5</v>
      </c>
      <c r="AA1" s="77" t="s">
        <v>6</v>
      </c>
      <c r="AB1" s="77"/>
    </row>
    <row r="2" spans="1:28" ht="19.5" thickBot="1">
      <c r="A2" s="88"/>
      <c r="B2" s="88"/>
      <c r="C2" s="78"/>
      <c r="D2" s="76"/>
      <c r="E2" s="76"/>
      <c r="F2" s="78"/>
      <c r="G2" s="78"/>
      <c r="H2" s="78"/>
      <c r="I2" s="76"/>
      <c r="J2" s="76"/>
      <c r="K2" s="76"/>
      <c r="L2" s="76"/>
      <c r="M2" s="76"/>
      <c r="N2" s="76"/>
      <c r="O2" s="76"/>
      <c r="P2" s="76"/>
      <c r="Q2" s="76"/>
      <c r="R2" s="76"/>
      <c r="S2" s="76"/>
      <c r="T2" s="76"/>
      <c r="U2" s="76"/>
      <c r="V2" s="76"/>
      <c r="W2" s="76"/>
      <c r="X2" s="76"/>
      <c r="Y2" s="76"/>
      <c r="Z2" s="78"/>
      <c r="AA2" s="12" t="s">
        <v>95</v>
      </c>
      <c r="AB2" s="12" t="s">
        <v>25</v>
      </c>
    </row>
    <row r="3" spans="1:28" s="80" customFormat="1" ht="15">
      <c r="A3" s="89">
        <v>20200713</v>
      </c>
      <c r="B3" s="92" t="s">
        <v>253</v>
      </c>
      <c r="C3" s="85">
        <v>3</v>
      </c>
      <c r="D3" s="13" t="s">
        <v>67</v>
      </c>
      <c r="E3" s="31" t="s">
        <v>97</v>
      </c>
      <c r="F3" s="86" t="s">
        <v>255</v>
      </c>
      <c r="G3" s="81" t="s">
        <v>162</v>
      </c>
      <c r="H3" s="82"/>
      <c r="I3" s="13" t="s">
        <v>82</v>
      </c>
      <c r="J3" s="50" t="s">
        <v>155</v>
      </c>
      <c r="K3" s="83">
        <v>1</v>
      </c>
      <c r="L3" s="9">
        <v>0</v>
      </c>
      <c r="M3" s="9">
        <v>0</v>
      </c>
      <c r="N3" s="9">
        <v>1</v>
      </c>
      <c r="O3" s="4"/>
      <c r="P3" s="14"/>
      <c r="Q3" s="4" t="s">
        <v>27</v>
      </c>
      <c r="R3" s="23" t="s">
        <v>69</v>
      </c>
      <c r="S3" s="23" t="s">
        <v>31</v>
      </c>
      <c r="T3" s="23">
        <v>1</v>
      </c>
      <c r="U3" s="23">
        <v>0</v>
      </c>
      <c r="V3" s="23">
        <v>0</v>
      </c>
      <c r="W3" s="23">
        <v>1</v>
      </c>
      <c r="X3" s="23" t="s">
        <v>28</v>
      </c>
      <c r="Y3" s="84" t="s">
        <v>248</v>
      </c>
      <c r="Z3" s="82"/>
      <c r="AA3" s="82"/>
      <c r="AB3" s="82"/>
    </row>
    <row r="4" spans="1:28" s="80" customFormat="1" ht="15">
      <c r="A4" s="90">
        <v>20200713</v>
      </c>
      <c r="B4" s="93"/>
      <c r="C4" s="85">
        <v>4</v>
      </c>
      <c r="D4" s="13" t="s">
        <v>67</v>
      </c>
      <c r="E4" s="31" t="s">
        <v>97</v>
      </c>
      <c r="F4" s="86" t="s">
        <v>256</v>
      </c>
      <c r="G4" s="81" t="s">
        <v>163</v>
      </c>
      <c r="H4" s="82"/>
      <c r="I4" s="13" t="s">
        <v>82</v>
      </c>
      <c r="J4" s="50" t="s">
        <v>155</v>
      </c>
      <c r="K4" s="83">
        <v>1</v>
      </c>
      <c r="L4" s="9">
        <f>M3+1</f>
        <v>1</v>
      </c>
      <c r="M4" s="9">
        <f>L4+K4-1</f>
        <v>1</v>
      </c>
      <c r="N4" s="9">
        <v>1</v>
      </c>
      <c r="O4" s="4"/>
      <c r="P4" s="14"/>
      <c r="Q4" s="4" t="s">
        <v>27</v>
      </c>
      <c r="R4" s="23" t="s">
        <v>69</v>
      </c>
      <c r="S4" s="23" t="s">
        <v>31</v>
      </c>
      <c r="T4" s="23">
        <v>1</v>
      </c>
      <c r="U4" s="23">
        <v>0</v>
      </c>
      <c r="V4" s="23">
        <v>0</v>
      </c>
      <c r="W4" s="23">
        <v>1</v>
      </c>
      <c r="X4" s="23" t="s">
        <v>28</v>
      </c>
      <c r="Y4" s="84" t="s">
        <v>247</v>
      </c>
      <c r="Z4" s="82"/>
      <c r="AA4" s="82"/>
      <c r="AB4" s="82"/>
    </row>
    <row r="5" spans="1:28" s="80" customFormat="1" ht="15">
      <c r="A5" s="90">
        <v>20200713</v>
      </c>
      <c r="B5" s="93"/>
      <c r="C5" s="85">
        <v>5</v>
      </c>
      <c r="D5" s="13" t="s">
        <v>67</v>
      </c>
      <c r="E5" s="31" t="s">
        <v>97</v>
      </c>
      <c r="F5" s="86" t="s">
        <v>257</v>
      </c>
      <c r="G5" s="81" t="s">
        <v>164</v>
      </c>
      <c r="H5" s="82"/>
      <c r="I5" s="13" t="s">
        <v>103</v>
      </c>
      <c r="J5" s="50" t="s">
        <v>155</v>
      </c>
      <c r="K5" s="83">
        <v>1</v>
      </c>
      <c r="L5" s="9">
        <f>M4+1</f>
        <v>2</v>
      </c>
      <c r="M5" s="9">
        <f t="shared" ref="M5:M6" si="0">L5+K5-1</f>
        <v>2</v>
      </c>
      <c r="N5" s="9">
        <v>1</v>
      </c>
      <c r="O5" s="4"/>
      <c r="P5" s="14"/>
      <c r="Q5" s="4" t="s">
        <v>27</v>
      </c>
      <c r="R5" s="23" t="s">
        <v>69</v>
      </c>
      <c r="S5" s="23" t="s">
        <v>31</v>
      </c>
      <c r="T5" s="23">
        <v>1</v>
      </c>
      <c r="U5" s="23">
        <v>0</v>
      </c>
      <c r="V5" s="23">
        <v>0</v>
      </c>
      <c r="W5" s="23">
        <v>1</v>
      </c>
      <c r="X5" s="23" t="s">
        <v>28</v>
      </c>
      <c r="Y5" s="84" t="s">
        <v>248</v>
      </c>
      <c r="Z5" s="82"/>
      <c r="AA5" s="82"/>
      <c r="AB5" s="82"/>
    </row>
    <row r="6" spans="1:28" s="80" customFormat="1" ht="15.75" thickBot="1">
      <c r="A6" s="91">
        <v>20200713</v>
      </c>
      <c r="B6" s="94"/>
      <c r="C6" s="85">
        <v>6</v>
      </c>
      <c r="D6" s="13" t="s">
        <v>67</v>
      </c>
      <c r="E6" s="31" t="s">
        <v>97</v>
      </c>
      <c r="F6" s="86" t="s">
        <v>258</v>
      </c>
      <c r="G6" s="81" t="s">
        <v>165</v>
      </c>
      <c r="H6" s="82"/>
      <c r="I6" s="13" t="s">
        <v>103</v>
      </c>
      <c r="J6" s="50" t="s">
        <v>155</v>
      </c>
      <c r="K6" s="83">
        <v>1</v>
      </c>
      <c r="L6" s="9">
        <f>M5+1</f>
        <v>3</v>
      </c>
      <c r="M6" s="9">
        <f t="shared" si="0"/>
        <v>3</v>
      </c>
      <c r="N6" s="9">
        <v>1</v>
      </c>
      <c r="O6" s="4"/>
      <c r="P6" s="14"/>
      <c r="Q6" s="4" t="s">
        <v>27</v>
      </c>
      <c r="R6" s="23" t="s">
        <v>69</v>
      </c>
      <c r="S6" s="23" t="s">
        <v>31</v>
      </c>
      <c r="T6" s="23">
        <v>1</v>
      </c>
      <c r="U6" s="23">
        <v>0</v>
      </c>
      <c r="V6" s="23">
        <v>0</v>
      </c>
      <c r="W6" s="23">
        <v>1</v>
      </c>
      <c r="X6" s="23" t="s">
        <v>28</v>
      </c>
      <c r="Y6" s="84" t="s">
        <v>247</v>
      </c>
      <c r="Z6" s="82"/>
      <c r="AA6" s="82"/>
      <c r="AB6" s="82"/>
    </row>
    <row r="7" spans="1:28" s="80" customFormat="1" ht="15">
      <c r="A7" s="90">
        <v>20200713</v>
      </c>
      <c r="B7" s="92" t="s">
        <v>254</v>
      </c>
      <c r="C7" s="85">
        <v>3</v>
      </c>
      <c r="D7" s="13" t="s">
        <v>67</v>
      </c>
      <c r="E7" s="31" t="s">
        <v>97</v>
      </c>
      <c r="F7" s="86" t="s">
        <v>249</v>
      </c>
      <c r="G7" s="81" t="s">
        <v>162</v>
      </c>
      <c r="H7" s="82"/>
      <c r="I7" s="13" t="s">
        <v>82</v>
      </c>
      <c r="J7" s="50" t="s">
        <v>155</v>
      </c>
      <c r="K7" s="83">
        <v>1</v>
      </c>
      <c r="L7" s="9">
        <v>0</v>
      </c>
      <c r="M7" s="9">
        <v>0</v>
      </c>
      <c r="N7" s="9">
        <v>1</v>
      </c>
      <c r="O7" s="4"/>
      <c r="P7" s="14"/>
      <c r="Q7" s="4" t="s">
        <v>27</v>
      </c>
      <c r="R7" s="23" t="s">
        <v>69</v>
      </c>
      <c r="S7" s="23" t="s">
        <v>31</v>
      </c>
      <c r="T7" s="23">
        <v>1</v>
      </c>
      <c r="U7" s="23">
        <v>0</v>
      </c>
      <c r="V7" s="23">
        <v>0</v>
      </c>
      <c r="W7" s="23">
        <v>1</v>
      </c>
      <c r="X7" s="23" t="s">
        <v>28</v>
      </c>
      <c r="Y7" s="84" t="s">
        <v>248</v>
      </c>
      <c r="Z7" s="82"/>
      <c r="AA7" s="82"/>
      <c r="AB7" s="82"/>
    </row>
    <row r="8" spans="1:28" s="80" customFormat="1" ht="15">
      <c r="A8" s="90">
        <v>20200713</v>
      </c>
      <c r="B8" s="93"/>
      <c r="C8" s="85">
        <v>4</v>
      </c>
      <c r="D8" s="13" t="s">
        <v>67</v>
      </c>
      <c r="E8" s="31" t="s">
        <v>97</v>
      </c>
      <c r="F8" s="86" t="s">
        <v>250</v>
      </c>
      <c r="G8" s="81" t="s">
        <v>163</v>
      </c>
      <c r="H8" s="82"/>
      <c r="I8" s="13" t="s">
        <v>82</v>
      </c>
      <c r="J8" s="50" t="s">
        <v>155</v>
      </c>
      <c r="K8" s="83">
        <v>1</v>
      </c>
      <c r="L8" s="9">
        <f>M7+1</f>
        <v>1</v>
      </c>
      <c r="M8" s="9">
        <f>L8+K8-1</f>
        <v>1</v>
      </c>
      <c r="N8" s="9">
        <v>1</v>
      </c>
      <c r="O8" s="4"/>
      <c r="P8" s="14"/>
      <c r="Q8" s="4" t="s">
        <v>27</v>
      </c>
      <c r="R8" s="23" t="s">
        <v>69</v>
      </c>
      <c r="S8" s="23" t="s">
        <v>31</v>
      </c>
      <c r="T8" s="23">
        <v>1</v>
      </c>
      <c r="U8" s="23">
        <v>0</v>
      </c>
      <c r="V8" s="23">
        <v>0</v>
      </c>
      <c r="W8" s="23">
        <v>1</v>
      </c>
      <c r="X8" s="23" t="s">
        <v>28</v>
      </c>
      <c r="Y8" s="84" t="s">
        <v>247</v>
      </c>
      <c r="Z8" s="82"/>
      <c r="AA8" s="82"/>
      <c r="AB8" s="82"/>
    </row>
    <row r="9" spans="1:28" s="80" customFormat="1" ht="15">
      <c r="A9" s="90">
        <v>20200713</v>
      </c>
      <c r="B9" s="93"/>
      <c r="C9" s="85">
        <v>5</v>
      </c>
      <c r="D9" s="13" t="s">
        <v>67</v>
      </c>
      <c r="E9" s="31" t="s">
        <v>97</v>
      </c>
      <c r="F9" s="86" t="s">
        <v>251</v>
      </c>
      <c r="G9" s="81" t="s">
        <v>164</v>
      </c>
      <c r="H9" s="82"/>
      <c r="I9" s="13" t="s">
        <v>103</v>
      </c>
      <c r="J9" s="50" t="s">
        <v>155</v>
      </c>
      <c r="K9" s="83">
        <v>1</v>
      </c>
      <c r="L9" s="9">
        <f>M8+1</f>
        <v>2</v>
      </c>
      <c r="M9" s="9">
        <f t="shared" ref="M9:M10" si="1">L9+K9-1</f>
        <v>2</v>
      </c>
      <c r="N9" s="9">
        <v>1</v>
      </c>
      <c r="O9" s="4"/>
      <c r="P9" s="14"/>
      <c r="Q9" s="4" t="s">
        <v>27</v>
      </c>
      <c r="R9" s="23" t="s">
        <v>69</v>
      </c>
      <c r="S9" s="23" t="s">
        <v>31</v>
      </c>
      <c r="T9" s="23">
        <v>1</v>
      </c>
      <c r="U9" s="23">
        <v>0</v>
      </c>
      <c r="V9" s="23">
        <v>0</v>
      </c>
      <c r="W9" s="23">
        <v>1</v>
      </c>
      <c r="X9" s="23" t="s">
        <v>28</v>
      </c>
      <c r="Y9" s="84" t="s">
        <v>248</v>
      </c>
      <c r="Z9" s="82"/>
      <c r="AA9" s="82"/>
      <c r="AB9" s="82"/>
    </row>
    <row r="10" spans="1:28" s="80" customFormat="1" ht="15.75" thickBot="1">
      <c r="A10" s="91">
        <v>20200713</v>
      </c>
      <c r="B10" s="94"/>
      <c r="C10" s="85">
        <v>6</v>
      </c>
      <c r="D10" s="13" t="s">
        <v>67</v>
      </c>
      <c r="E10" s="31" t="s">
        <v>97</v>
      </c>
      <c r="F10" s="86" t="s">
        <v>252</v>
      </c>
      <c r="G10" s="81" t="s">
        <v>165</v>
      </c>
      <c r="H10" s="82"/>
      <c r="I10" s="13" t="s">
        <v>103</v>
      </c>
      <c r="J10" s="50" t="s">
        <v>155</v>
      </c>
      <c r="K10" s="83">
        <v>1</v>
      </c>
      <c r="L10" s="9">
        <f>M9+1</f>
        <v>3</v>
      </c>
      <c r="M10" s="9">
        <f t="shared" si="1"/>
        <v>3</v>
      </c>
      <c r="N10" s="9">
        <v>1</v>
      </c>
      <c r="O10" s="4"/>
      <c r="P10" s="14"/>
      <c r="Q10" s="4" t="s">
        <v>27</v>
      </c>
      <c r="R10" s="23" t="s">
        <v>69</v>
      </c>
      <c r="S10" s="23" t="s">
        <v>31</v>
      </c>
      <c r="T10" s="23">
        <v>1</v>
      </c>
      <c r="U10" s="23">
        <v>0</v>
      </c>
      <c r="V10" s="23">
        <v>0</v>
      </c>
      <c r="W10" s="23">
        <v>1</v>
      </c>
      <c r="X10" s="23" t="s">
        <v>28</v>
      </c>
      <c r="Y10" s="84" t="s">
        <v>247</v>
      </c>
      <c r="Z10" s="82"/>
      <c r="AA10" s="82"/>
      <c r="AB10" s="82"/>
    </row>
    <row r="11" spans="1:28">
      <c r="C11" s="150"/>
    </row>
  </sheetData>
  <customSheetViews>
    <customSheetView guid="{D28585A0-5D39-432E-81ED-6A20A7471F73}">
      <selection activeCell="A17" sqref="A17"/>
      <pageMargins left="0.7" right="0.7" top="0.75" bottom="0.75" header="0.3" footer="0.3"/>
    </customSheetView>
  </customSheetViews>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DureOS-LIN</vt:lpstr>
      <vt:lpstr>Schedule Table</vt:lpstr>
      <vt:lpstr>open topics</vt:lpstr>
      <vt:lpstr>语音-LIN_map</vt:lpstr>
      <vt:lpstr>语音_LINmap</vt:lpstr>
      <vt:lpstr>Revision History</vt:lpstr>
      <vt:lpstr>'DureOS-LIN'!Print_Area</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czl9q0</dc:creator>
  <cp:lastModifiedBy>Yin, Joss (X.)</cp:lastModifiedBy>
  <cp:lastPrinted>2015-06-30T08:44:17Z</cp:lastPrinted>
  <dcterms:created xsi:type="dcterms:W3CDTF">2009-12-02T06:37:23Z</dcterms:created>
  <dcterms:modified xsi:type="dcterms:W3CDTF">2020-10-23T07:46:37Z</dcterms:modified>
</cp:coreProperties>
</file>