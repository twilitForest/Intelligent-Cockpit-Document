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codeName="ThisWorkbook"/>
  <mc:AlternateContent xmlns:mc="http://schemas.openxmlformats.org/markup-compatibility/2006">
    <mc:Choice Requires="x15">
      <x15ac:absPath xmlns:x15ac="http://schemas.microsoft.com/office/spreadsheetml/2010/11/ac" url="C:\Users\dgeng1\Desktop\geng\00 My Programs\04 FO\0 Mode Card\05 GPDS deliverable\FMA\CPA\"/>
    </mc:Choice>
  </mc:AlternateContent>
  <xr:revisionPtr revIDLastSave="0" documentId="13_ncr:1_{179604F0-976E-474B-A6D2-8D440C8A4C71}" xr6:coauthVersionLast="47" xr6:coauthVersionMax="47" xr10:uidLastSave="{00000000-0000-0000-0000-000000000000}"/>
  <bookViews>
    <workbookView xWindow="-120" yWindow="-120" windowWidth="20730" windowHeight="11160" xr2:uid="{00000000-000D-0000-FFFF-FFFF00000000}"/>
  </bookViews>
  <sheets>
    <sheet name="Change Point Analysis" sheetId="1" r:id="rId1"/>
    <sheet name="Core Update Agreement" sheetId="6" r:id="rId2"/>
    <sheet name="Notes" sheetId="2" r:id="rId3"/>
    <sheet name="Images" sheetId="3" r:id="rId4"/>
    <sheet name="Change Scope Table" sheetId="4" r:id="rId5"/>
    <sheet name="Change Point Approach Defined" sheetId="5" r:id="rId6"/>
  </sheets>
  <definedNames>
    <definedName name="_ftn1" localSheetId="5">'Change Point Approach Defined'!$A$60</definedName>
    <definedName name="_ftn2" localSheetId="5">'Change Point Approach Defined'!$A$61</definedName>
    <definedName name="_ftn3" localSheetId="5">'Change Point Approach Defined'!$A$62</definedName>
    <definedName name="_ftn4" localSheetId="5">'Change Point Approach Defined'!$A$63</definedName>
    <definedName name="_ftnref1" localSheetId="5">'Change Point Approach Defined'!$A$12</definedName>
    <definedName name="_ftnref2" localSheetId="5">'Change Point Approach Defined'!$A$18</definedName>
    <definedName name="_ftnref3" localSheetId="5">'Change Point Approach Defined'!$A$19</definedName>
    <definedName name="_ftnref4" localSheetId="5">'Change Point Approach Defined'!$B$30</definedName>
    <definedName name="ChangeScopeTable">'Change Scope Table'!$A$1:$D$23</definedName>
    <definedName name="_xlnm.Print_Area" localSheetId="0">'Change Point Analysis'!$A$1:$H$60</definedName>
    <definedName name="_xlnm.Print_Area" localSheetId="5">'Change Point Approach Defined'!$B$1</definedName>
    <definedName name="_xlnm.Print_Area" localSheetId="4">'Change Scope Table'!$A$1:$D$23</definedName>
    <definedName name="QH_Footnote">'Change Point Analysis'!$A$63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J43" i="1"/>
  <c r="I43" i="1"/>
  <c r="M54" i="1"/>
  <c r="J1" i="1"/>
  <c r="C25" i="6"/>
  <c r="A25" i="6"/>
  <c r="A3" i="6"/>
  <c r="C23" i="6"/>
  <c r="C24" i="6"/>
  <c r="C22" i="6"/>
  <c r="A23" i="6"/>
  <c r="A24" i="6"/>
  <c r="D4" i="1"/>
  <c r="B59" i="1" s="1"/>
  <c r="L33" i="1"/>
  <c r="M33" i="1" s="1"/>
  <c r="N33" i="1" s="1"/>
  <c r="L32" i="1"/>
  <c r="M32" i="1" s="1"/>
  <c r="N32" i="1" s="1"/>
  <c r="L31" i="1"/>
  <c r="M31" i="1" s="1"/>
  <c r="N31" i="1" s="1"/>
  <c r="L30" i="1"/>
  <c r="M30" i="1" s="1"/>
  <c r="N30" i="1" s="1"/>
  <c r="L24" i="1"/>
  <c r="M24" i="1" s="1"/>
  <c r="N24" i="1" s="1"/>
  <c r="L22" i="1"/>
  <c r="M22" i="1" s="1"/>
  <c r="N22" i="1" s="1"/>
  <c r="L21" i="1"/>
  <c r="M21" i="1" s="1"/>
  <c r="N21" i="1" s="1"/>
  <c r="L19" i="1"/>
  <c r="M19" i="1" s="1"/>
  <c r="N19" i="1" s="1"/>
  <c r="L18" i="1"/>
  <c r="M18" i="1" s="1"/>
  <c r="N18" i="1" s="1"/>
  <c r="L17" i="1"/>
  <c r="M17" i="1" s="1"/>
  <c r="N17" i="1" s="1"/>
  <c r="L16" i="1"/>
  <c r="M16" i="1" s="1"/>
  <c r="N16" i="1" s="1"/>
  <c r="L15" i="1"/>
  <c r="M15" i="1" s="1"/>
  <c r="N15" i="1" s="1"/>
  <c r="L14" i="1"/>
  <c r="M14" i="1" s="1"/>
  <c r="N14" i="1" s="1"/>
  <c r="L13" i="1"/>
  <c r="M13" i="1" s="1"/>
  <c r="N13" i="1" s="1"/>
  <c r="L20" i="1"/>
  <c r="M20" i="1" s="1"/>
  <c r="N20" i="1" s="1"/>
  <c r="M52" i="1"/>
  <c r="B51" i="1"/>
  <c r="L54" i="1"/>
  <c r="L52" i="1"/>
  <c r="M50" i="1"/>
  <c r="M51" i="1"/>
  <c r="M53" i="1"/>
  <c r="M49" i="1"/>
  <c r="L51" i="1"/>
  <c r="J38" i="1"/>
  <c r="A10" i="1"/>
  <c r="D8" i="1"/>
  <c r="D2" i="4"/>
  <c r="D21" i="4"/>
  <c r="D7" i="4"/>
  <c r="D19" i="4"/>
  <c r="L23" i="1"/>
  <c r="M23" i="1" s="1"/>
  <c r="N23" i="1" s="1"/>
  <c r="L25" i="1"/>
  <c r="M25" i="1" s="1"/>
  <c r="N25" i="1" s="1"/>
  <c r="L26" i="1"/>
  <c r="M26" i="1" s="1"/>
  <c r="N26" i="1" s="1"/>
  <c r="L27" i="1"/>
  <c r="M27" i="1" s="1"/>
  <c r="N27" i="1" s="1"/>
  <c r="L28" i="1"/>
  <c r="M28" i="1" s="1"/>
  <c r="N28" i="1" s="1"/>
  <c r="L29" i="1"/>
  <c r="M29" i="1" s="1"/>
  <c r="N29" i="1" s="1"/>
  <c r="L34" i="1"/>
  <c r="M34" i="1" s="1"/>
  <c r="N34" i="1" s="1"/>
  <c r="L35" i="1"/>
  <c r="M35" i="1" s="1"/>
  <c r="N35" i="1" s="1"/>
  <c r="L36" i="1"/>
  <c r="M36" i="1" s="1"/>
  <c r="N36" i="1" s="1"/>
  <c r="L37" i="1"/>
  <c r="M37" i="1" s="1"/>
  <c r="N37" i="1" s="1"/>
  <c r="I40" i="1" a="1"/>
  <c r="I40" i="1" s="1"/>
  <c r="J40" i="1" a="1"/>
  <c r="J40" i="1" s="1"/>
  <c r="J39" i="1" a="1"/>
  <c r="J39" i="1" s="1"/>
  <c r="I39" i="1" a="1"/>
  <c r="I39" i="1" s="1"/>
  <c r="K4" i="1"/>
  <c r="K3" i="1"/>
  <c r="I41" i="1" a="1"/>
  <c r="I41" i="1" s="1"/>
  <c r="B57" i="1"/>
  <c r="D56" i="1"/>
  <c r="B56" i="1"/>
  <c r="F12" i="1"/>
  <c r="J48" i="1"/>
  <c r="K48" i="1" s="1"/>
  <c r="J47" i="1"/>
  <c r="K47" i="1" s="1"/>
  <c r="I53" i="1"/>
  <c r="I52" i="1"/>
  <c r="I50" i="1"/>
  <c r="I49" i="1"/>
  <c r="D22" i="4"/>
  <c r="D15" i="4"/>
  <c r="D11" i="4"/>
  <c r="D4" i="4"/>
  <c r="D9" i="4"/>
  <c r="D58" i="1"/>
  <c r="D48" i="1"/>
  <c r="D47" i="1"/>
  <c r="B58" i="1"/>
  <c r="D59" i="1"/>
  <c r="D57" i="1"/>
  <c r="J50" i="1" l="1"/>
  <c r="K50" i="1" s="1"/>
  <c r="J54" i="1"/>
  <c r="J52" i="1"/>
  <c r="K52" i="1" s="1"/>
  <c r="J49" i="1"/>
  <c r="K49" i="1" s="1"/>
  <c r="J53" i="1"/>
  <c r="K53" i="1" s="1"/>
  <c r="I60" i="1"/>
  <c r="I1" i="1" s="1"/>
  <c r="J12" i="1"/>
  <c r="A22" i="6"/>
  <c r="J42" i="1"/>
  <c r="A6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Monks, Graham (G.)</author>
    <author>Dent, Solomon (S.)</author>
  </authors>
  <commentList>
    <comment ref="A2" authorId="0" shapeId="0" xr:uid="{57952B23-A1E5-47FE-BD41-0579977DD1B0}">
      <text>
        <r>
          <rPr>
            <sz val="9"/>
            <color indexed="81"/>
            <rFont val="Calibri"/>
            <family val="2"/>
            <scheme val="minor"/>
          </rPr>
          <t xml:space="preserve">Free form field for entry of program designation e.g. B123 MCA.
Aligned with </t>
        </r>
        <r>
          <rPr>
            <b/>
            <i/>
            <sz val="9"/>
            <color indexed="81"/>
            <rFont val="Calibri"/>
            <family val="2"/>
            <scheme val="minor"/>
          </rPr>
          <t>“FMA Plan &amp; Sign-Off Form – Model Year &amp; Program”</t>
        </r>
        <r>
          <rPr>
            <sz val="9"/>
            <color indexed="81"/>
            <rFont val="Calibri"/>
            <family val="2"/>
            <scheme val="minor"/>
          </rPr>
          <t xml:space="preserve"> field.</t>
        </r>
      </text>
    </comment>
    <comment ref="D2" authorId="0" shapeId="0" xr:uid="{83282026-9E5D-42A7-B991-1E1E2E48B8FD}">
      <text>
        <r>
          <rPr>
            <sz val="9"/>
            <color indexed="81"/>
            <rFont val="Calibri"/>
            <family val="2"/>
            <scheme val="minor"/>
          </rPr>
          <t xml:space="preserve">Free form field for entry of description of the item analysed.
Aligned with </t>
        </r>
        <r>
          <rPr>
            <b/>
            <i/>
            <sz val="9"/>
            <color indexed="81"/>
            <rFont val="Calibri"/>
            <family val="2"/>
            <scheme val="minor"/>
          </rPr>
          <t>“FMA Plan &amp; Sign-Off Form - DFMEA Description”</t>
        </r>
        <r>
          <rPr>
            <sz val="9"/>
            <color indexed="81"/>
            <rFont val="Calibri"/>
            <family val="2"/>
            <scheme val="minor"/>
          </rPr>
          <t xml:space="preserve"> column.</t>
        </r>
      </text>
    </comment>
    <comment ref="A3" authorId="0" shapeId="0" xr:uid="{D6F14BA8-1C5A-41E0-BE72-74D6B9FBA620}">
      <text>
        <r>
          <rPr>
            <sz val="9"/>
            <color indexed="81"/>
            <rFont val="Calibri"/>
            <family val="2"/>
            <scheme val="minor"/>
          </rPr>
          <t xml:space="preserve">Free form field for entry of Program Model Year e.g. 2021.
Aligned with </t>
        </r>
        <r>
          <rPr>
            <b/>
            <i/>
            <sz val="9"/>
            <color indexed="81"/>
            <rFont val="Calibri"/>
            <family val="2"/>
            <scheme val="minor"/>
          </rPr>
          <t>“FMA Plan &amp; Sign-Off Form – Model Year &amp; Program”</t>
        </r>
        <r>
          <rPr>
            <sz val="9"/>
            <color indexed="81"/>
            <rFont val="Calibri"/>
            <family val="2"/>
            <scheme val="minor"/>
          </rPr>
          <t xml:space="preserve"> field.</t>
        </r>
      </text>
    </comment>
    <comment ref="D3" authorId="0" shapeId="0" xr:uid="{A693AAB9-4FEA-4924-974C-44C747D5DE82}">
      <text>
        <r>
          <rPr>
            <b/>
            <sz val="9"/>
            <color indexed="81"/>
            <rFont val="Calibri"/>
            <family val="2"/>
            <scheme val="minor"/>
          </rPr>
          <t>Select either relevant "Centre of Excellence" or PMT</t>
        </r>
      </text>
    </comment>
    <comment ref="A4" authorId="0" shapeId="0" xr:uid="{51D574A1-DB08-4800-8AC9-5F1EFD4EAFBE}">
      <text>
        <r>
          <rPr>
            <sz val="9"/>
            <color indexed="81"/>
            <rFont val="Calibri"/>
            <family val="2"/>
            <scheme val="minor"/>
          </rPr>
          <t xml:space="preserve">Choice of:
• Feature          • Sub-System
• System           • Component
Aligned with </t>
        </r>
        <r>
          <rPr>
            <b/>
            <i/>
            <sz val="9"/>
            <color indexed="81"/>
            <rFont val="Calibri"/>
            <family val="2"/>
            <scheme val="minor"/>
          </rPr>
          <t>“FMA Plan &amp; Sign-Off Form – FMA Scoping”</t>
        </r>
        <r>
          <rPr>
            <sz val="9"/>
            <color indexed="81"/>
            <rFont val="Calibri"/>
            <family val="2"/>
            <scheme val="minor"/>
          </rPr>
          <t xml:space="preserve"> column.</t>
        </r>
      </text>
    </comment>
    <comment ref="D4" authorId="0" shapeId="0" xr:uid="{8A38D7EA-1CE6-4DE2-8E37-0F6D43BC454E}">
      <text>
        <r>
          <rPr>
            <sz val="9"/>
            <color indexed="81"/>
            <rFont val="Calibri"/>
            <family val="2"/>
            <scheme val="minor"/>
          </rPr>
          <t xml:space="preserve">Free form field for entry of responsible engineer for item detailed.
Aligned with </t>
        </r>
        <r>
          <rPr>
            <b/>
            <i/>
            <sz val="9"/>
            <color indexed="81"/>
            <rFont val="Calibri"/>
            <family val="2"/>
            <scheme val="minor"/>
          </rPr>
          <t>“FMA Plan &amp; Sign-Off Form – Ford Engineer”</t>
        </r>
        <r>
          <rPr>
            <sz val="9"/>
            <color indexed="81"/>
            <rFont val="Calibri"/>
            <family val="2"/>
            <scheme val="minor"/>
          </rPr>
          <t xml:space="preserve"> column.
</t>
        </r>
        <r>
          <rPr>
            <b/>
            <sz val="9"/>
            <color indexed="81"/>
            <rFont val="Calibri"/>
            <family val="2"/>
            <scheme val="minor"/>
          </rPr>
          <t>Note:</t>
        </r>
        <r>
          <rPr>
            <sz val="9"/>
            <color indexed="81"/>
            <rFont val="Calibri"/>
            <family val="2"/>
            <scheme val="minor"/>
          </rPr>
          <t xml:space="preserve"> Title will change based on selection of </t>
        </r>
        <r>
          <rPr>
            <b/>
            <i/>
            <sz val="9"/>
            <color indexed="81"/>
            <rFont val="Calibri"/>
            <family val="2"/>
            <scheme val="minor"/>
          </rPr>
          <t>“FMA Analysis Level”</t>
        </r>
        <r>
          <rPr>
            <sz val="9"/>
            <color indexed="81"/>
            <rFont val="Calibri"/>
            <family val="2"/>
            <scheme val="minor"/>
          </rPr>
          <t xml:space="preserve"> 
e.g. D&amp;R Engineer,  Feature Engineer.</t>
        </r>
      </text>
    </comment>
    <comment ref="A5" authorId="0" shapeId="0" xr:uid="{2092072F-F9BC-4A97-A33B-A0E1B4088A62}">
      <text>
        <r>
          <rPr>
            <sz val="9"/>
            <color indexed="81"/>
            <rFont val="Calibri"/>
            <family val="2"/>
            <scheme val="minor"/>
          </rPr>
          <t>Select whether the Design Responsibility (DFMEA owner) for this program application is Ford or Supplier.
Aligned with</t>
        </r>
        <r>
          <rPr>
            <b/>
            <i/>
            <sz val="9"/>
            <color indexed="81"/>
            <rFont val="Calibri"/>
            <family val="2"/>
            <scheme val="minor"/>
          </rPr>
          <t xml:space="preserve"> “FMA Plan &amp; Sign-Off Form – Design Responsibility”</t>
        </r>
        <r>
          <rPr>
            <sz val="9"/>
            <color indexed="81"/>
            <rFont val="Calibri"/>
            <family val="2"/>
            <scheme val="minor"/>
          </rPr>
          <t xml:space="preserve"> column.</t>
        </r>
      </text>
    </comment>
    <comment ref="D5" authorId="0" shapeId="0" xr:uid="{E93373AD-0EDC-4D93-BD1A-19AFCC376236}">
      <text>
        <r>
          <rPr>
            <sz val="9"/>
            <color indexed="81"/>
            <rFont val="Calibri"/>
            <family val="2"/>
            <scheme val="minor"/>
          </rPr>
          <t xml:space="preserve">Free form field for entry of </t>
        </r>
        <r>
          <rPr>
            <b/>
            <i/>
            <sz val="9"/>
            <color indexed="81"/>
            <rFont val="Calibri"/>
            <family val="2"/>
            <scheme val="minor"/>
          </rPr>
          <t>“Engineering Supervisor”</t>
        </r>
        <r>
          <rPr>
            <sz val="9"/>
            <color indexed="81"/>
            <rFont val="Calibri"/>
            <family val="2"/>
            <scheme val="minor"/>
          </rPr>
          <t xml:space="preserve"> responsible for approving the CPA Worksheet (LL6).</t>
        </r>
      </text>
    </comment>
    <comment ref="A6" authorId="0" shapeId="0" xr:uid="{D286B8C6-544C-484B-BD0A-9E23DF3044CD}">
      <text>
        <r>
          <rPr>
            <sz val="9"/>
            <color indexed="81"/>
            <rFont val="Calibri"/>
            <family val="2"/>
            <scheme val="minor"/>
          </rPr>
          <t>Choice of:
• MI     • N-Tech    • SI
• MJ     • T              • SC
• N       • SJ             • C            
Aligned with</t>
        </r>
        <r>
          <rPr>
            <b/>
            <i/>
            <sz val="9"/>
            <color indexed="81"/>
            <rFont val="Calibri"/>
            <family val="2"/>
            <scheme val="minor"/>
          </rPr>
          <t xml:space="preserve"> “FMA Plan &amp; Sign-Off Form – Salt Classification”</t>
        </r>
        <r>
          <rPr>
            <sz val="9"/>
            <color indexed="81"/>
            <rFont val="Calibri"/>
            <family val="2"/>
            <scheme val="minor"/>
          </rPr>
          <t xml:space="preserve"> column. </t>
        </r>
      </text>
    </comment>
    <comment ref="D6" authorId="0" shapeId="0" xr:uid="{D5B8FBC1-CF36-4CE7-A843-BE64075F02B4}">
      <text>
        <r>
          <rPr>
            <sz val="9"/>
            <color indexed="81"/>
            <rFont val="Calibri"/>
            <family val="2"/>
            <scheme val="minor"/>
          </rPr>
          <t xml:space="preserve">Free form field for entry of </t>
        </r>
        <r>
          <rPr>
            <b/>
            <i/>
            <sz val="9"/>
            <color indexed="81"/>
            <rFont val="Calibri"/>
            <family val="2"/>
            <scheme val="minor"/>
          </rPr>
          <t xml:space="preserve">“Engineering Manager” </t>
        </r>
        <r>
          <rPr>
            <sz val="9"/>
            <color indexed="81"/>
            <rFont val="Calibri"/>
            <family val="2"/>
            <scheme val="minor"/>
          </rPr>
          <t>responsible responsible for approving the CPA Worksheet (LL5+).</t>
        </r>
      </text>
    </comment>
    <comment ref="A7" authorId="0" shapeId="0" xr:uid="{5B41E7DF-EEBB-4043-ADC6-1AC981CB991D}">
      <text>
        <r>
          <rPr>
            <sz val="9"/>
            <color indexed="81"/>
            <rFont val="Calibri"/>
            <family val="2"/>
            <scheme val="minor"/>
          </rPr>
          <t>Identification of what is the starting point DFMEA for any updates.
Choice of:
• “Foundation” (generic, core).
• “Surrogate” (i.e. prior program or different but similar system).
• “None” (no starting point DFMEA available).</t>
        </r>
      </text>
    </comment>
    <comment ref="D7" authorId="0" shapeId="0" xr:uid="{7BFCD898-EBD9-41BB-B74A-8967554C00A5}">
      <text>
        <r>
          <rPr>
            <sz val="9"/>
            <color indexed="81"/>
            <rFont val="Calibri"/>
            <family val="2"/>
            <scheme val="minor"/>
          </rPr>
          <t xml:space="preserve">Free form field for entry of </t>
        </r>
        <r>
          <rPr>
            <b/>
            <i/>
            <sz val="9"/>
            <color indexed="81"/>
            <rFont val="Calibri"/>
            <family val="2"/>
            <scheme val="minor"/>
          </rPr>
          <t>“Quality or DA Supervisor / Manager”</t>
        </r>
        <r>
          <rPr>
            <sz val="9"/>
            <color indexed="81"/>
            <rFont val="Calibri"/>
            <family val="2"/>
            <scheme val="minor"/>
          </rPr>
          <t xml:space="preserve"> responsible responsible for approving the CPA Worksheet  (LL6+).</t>
        </r>
      </text>
    </comment>
    <comment ref="A8" authorId="0" shapeId="0" xr:uid="{B13AE3F0-AE83-4653-BCD3-6314EF26BE3B}">
      <text>
        <r>
          <rPr>
            <sz val="9"/>
            <color indexed="81"/>
            <rFont val="Calibri"/>
            <family val="2"/>
            <scheme val="minor"/>
          </rPr>
          <t xml:space="preserve">Enter value depending on </t>
        </r>
        <r>
          <rPr>
            <b/>
            <i/>
            <sz val="9"/>
            <color indexed="81"/>
            <rFont val="Calibri"/>
            <family val="2"/>
            <scheme val="minor"/>
          </rPr>
          <t>“Existing DFMEA Type"</t>
        </r>
        <r>
          <rPr>
            <sz val="9"/>
            <color indexed="81"/>
            <rFont val="Calibri"/>
            <family val="2"/>
            <scheme val="minor"/>
          </rPr>
          <t xml:space="preserve"> 
Choice of:
• Foundation (either):
   o Enter value from DFMEA assessment for Foundation document in FEDE.
   o If no Foundation assessment available enter “0”.
• Surrogate Ford / Supplier (either):
   o Enter value from program surrogate DFMEA Assessment if program used 49 Question DFMEA Assessment.
   o If no Surrogate assessment available enter “0”.</t>
        </r>
      </text>
    </comment>
    <comment ref="D8" authorId="0" shapeId="0" xr:uid="{07979E72-818D-4278-A65F-88B1E8F0EB67}">
      <text>
        <r>
          <rPr>
            <sz val="9"/>
            <color indexed="81"/>
            <rFont val="Calibri"/>
            <family val="2"/>
            <scheme val="minor"/>
          </rPr>
          <t xml:space="preserve">   Free form field describing the surrogate or surrogates that the design for this application will be based on. 
   Where the new application is a hybrid or combination of aspects from several prior designs, then identify multiple surrogates and specify in the </t>
        </r>
        <r>
          <rPr>
            <b/>
            <i/>
            <sz val="9"/>
            <color indexed="81"/>
            <rFont val="Calibri"/>
            <family val="2"/>
            <scheme val="minor"/>
          </rPr>
          <t xml:space="preserve">“Brief Description of Change“ </t>
        </r>
        <r>
          <rPr>
            <sz val="9"/>
            <color indexed="81"/>
            <rFont val="Calibri"/>
            <family val="2"/>
            <scheme val="minor"/>
          </rPr>
          <t>section below what elements are taken from each surrogate.</t>
        </r>
      </text>
    </comment>
    <comment ref="A9" authorId="0" shapeId="0" xr:uid="{2F98DA45-15C3-497B-956E-76C16EF22CDC}">
      <text>
        <r>
          <rPr>
            <sz val="9"/>
            <color indexed="81"/>
            <rFont val="Calibri"/>
            <family val="2"/>
            <scheme val="minor"/>
          </rPr>
          <t>Indicates the starting point for the design with details given in the Design Surrogate and Brief Description of Change section.
Choice of:
• Module – starting from a corporate module.
• Prior Design – starting from a prior application design.
• Other Surrogate – starting from a different surrogate, eg supplier prior design.</t>
        </r>
      </text>
    </comment>
    <comment ref="A10" authorId="0" shapeId="0" xr:uid="{871115FA-F7A6-4146-830F-58F4C02E3FED}">
      <text>
        <r>
          <rPr>
            <sz val="9"/>
            <color indexed="81"/>
            <rFont val="Calibri"/>
            <family val="2"/>
            <scheme val="minor"/>
          </rPr>
          <t xml:space="preserve">  Free form field describing the basic differences in the new application compared to the surrogate or surrogates.
  Use general terms, avoid specific dimension etc.
  Where the new application is a hybrid or combination of aspects from several prior designs, then identify multiple surrogates and specify what elements are taken from each surrogate.</t>
        </r>
      </text>
    </comment>
    <comment ref="A12" authorId="0" shapeId="0" xr:uid="{1580E4D6-ACAE-46E1-A51B-98D21B7A0690}">
      <text>
        <r>
          <rPr>
            <sz val="9"/>
            <color indexed="81"/>
            <rFont val="Calibri"/>
            <family val="2"/>
            <scheme val="minor"/>
          </rPr>
          <t xml:space="preserve">Broad categories of change grouped into 3 categories and multiple sub-headings. </t>
        </r>
      </text>
    </comment>
    <comment ref="D12" authorId="0" shapeId="0" xr:uid="{E8936F3C-C947-4668-A1B5-680B4F8A9DEB}">
      <text>
        <r>
          <rPr>
            <sz val="9"/>
            <color indexed="81"/>
            <rFont val="Calibri"/>
            <family val="2"/>
            <scheme val="minor"/>
          </rPr>
          <t>Identification of level of change versus the identified surrogate(s).
• Major – significant or large changes from the surrogate.
• Minor – small changes from the surrogate. 
• Minimal – very small changes from the surrogate.
• Nil – no change from the surrogate.
• N/A – the specific area of change identified is not applicable.</t>
        </r>
      </text>
    </comment>
    <comment ref="E12" authorId="0" shapeId="0" xr:uid="{36C4C0DD-FB71-4F00-8114-DC485ABC22C9}">
      <text>
        <r>
          <rPr>
            <sz val="9"/>
            <color indexed="81"/>
            <rFont val="Calibri"/>
            <family val="2"/>
            <scheme val="minor"/>
          </rPr>
          <t xml:space="preserve">  Free form field to give a brief description of the nature of the change
  In general try to avoid specific numbers or very detailed explanations, instead use general terms to define the change.
  Where the change is very clearly defined in specific terms that are inherent in the change then specific numbers or specs may be used. </t>
        </r>
      </text>
    </comment>
    <comment ref="F12" authorId="0" shapeId="0" xr:uid="{35F0DD5F-7F12-4211-ACEC-3CE69B0C8CFA}">
      <text>
        <r>
          <rPr>
            <b/>
            <sz val="9"/>
            <color indexed="81"/>
            <rFont val="Calibri"/>
            <family val="2"/>
            <scheme val="minor"/>
          </rPr>
          <t>Yes</t>
        </r>
        <r>
          <rPr>
            <sz val="9"/>
            <color indexed="81"/>
            <rFont val="Calibri"/>
            <family val="2"/>
            <scheme val="minor"/>
          </rPr>
          <t xml:space="preserve"> or </t>
        </r>
        <r>
          <rPr>
            <b/>
            <sz val="9"/>
            <color indexed="81"/>
            <rFont val="Calibri"/>
            <family val="2"/>
            <scheme val="minor"/>
          </rPr>
          <t>No</t>
        </r>
        <r>
          <rPr>
            <sz val="9"/>
            <color indexed="81"/>
            <rFont val="Calibri"/>
            <family val="2"/>
            <scheme val="minor"/>
          </rPr>
          <t xml:space="preserve"> field to indicate if the change is within the range that has been engineered successfully previously by the design responsible organisation. 
• </t>
        </r>
        <r>
          <rPr>
            <b/>
            <sz val="9"/>
            <color indexed="81"/>
            <rFont val="Calibri"/>
            <family val="2"/>
            <scheme val="minor"/>
          </rPr>
          <t>Yes</t>
        </r>
        <r>
          <rPr>
            <sz val="9"/>
            <color indexed="81"/>
            <rFont val="Calibri"/>
            <family val="2"/>
            <scheme val="minor"/>
          </rPr>
          <t xml:space="preserve"> – the engineering team believe that this change is within the range already covered by standard methods.
• </t>
        </r>
        <r>
          <rPr>
            <b/>
            <sz val="9"/>
            <color indexed="81"/>
            <rFont val="Calibri"/>
            <family val="2"/>
            <scheme val="minor"/>
          </rPr>
          <t>No</t>
        </r>
        <r>
          <rPr>
            <sz val="9"/>
            <color indexed="81"/>
            <rFont val="Calibri"/>
            <family val="2"/>
            <scheme val="minor"/>
          </rPr>
          <t xml:space="preserve"> – the engineering team believe that this change is beyond the range already covered by standard methods.</t>
        </r>
      </text>
    </comment>
    <comment ref="G12" authorId="0" shapeId="0" xr:uid="{AA05D0B5-CE10-46D0-8D29-F539A898482A}">
      <text>
        <r>
          <rPr>
            <sz val="9"/>
            <color indexed="81"/>
            <rFont val="Calibri"/>
            <family val="2"/>
            <scheme val="minor"/>
          </rPr>
          <t xml:space="preserve">Subjective engineering assessment of the risk of the change based on both the Change Level and the assessment of the change the ranges covered by standard engineering methods (Within Verified Range). 
The risk assessment is not required for all changes (i.e. not required for </t>
        </r>
        <r>
          <rPr>
            <b/>
            <sz val="9"/>
            <color indexed="81"/>
            <rFont val="Calibri"/>
            <family val="2"/>
            <scheme val="minor"/>
          </rPr>
          <t>Nil</t>
        </r>
        <r>
          <rPr>
            <sz val="9"/>
            <color indexed="81"/>
            <rFont val="Calibri"/>
            <family val="2"/>
            <scheme val="minor"/>
          </rPr>
          <t xml:space="preserve"> or</t>
        </r>
        <r>
          <rPr>
            <b/>
            <sz val="9"/>
            <color indexed="81"/>
            <rFont val="Calibri"/>
            <family val="2"/>
            <scheme val="minor"/>
          </rPr>
          <t xml:space="preserve"> N/A </t>
        </r>
        <r>
          <rPr>
            <sz val="9"/>
            <color indexed="81"/>
            <rFont val="Calibri"/>
            <family val="2"/>
            <scheme val="minor"/>
          </rPr>
          <t xml:space="preserve">Change Level). </t>
        </r>
      </text>
    </comment>
    <comment ref="H12" authorId="0" shapeId="0" xr:uid="{DE0A7A07-91A0-4EC1-9B95-D6E4692E5E54}">
      <text>
        <r>
          <rPr>
            <sz val="9"/>
            <color indexed="81"/>
            <rFont val="Calibri"/>
            <family val="2"/>
            <scheme val="minor"/>
          </rPr>
          <t>Optional free form field to record any comments or explanation or justification around the risk assessment.
While optional it is highly recommended to complete this wherever a change is outside the verified range and a risk assessment of Nil has been entered.</t>
        </r>
      </text>
    </comment>
    <comment ref="E41" authorId="1" shapeId="0" xr:uid="{46DC059E-CC33-4705-B6DC-64B91B44A1A7}">
      <text>
        <r>
          <rPr>
            <b/>
            <sz val="9"/>
            <color indexed="81"/>
            <rFont val="Tahoma"/>
            <family val="2"/>
          </rPr>
          <t>Identifies items where quality history indicates that there are Failure Modes not included in the existing or surrogate DFMEA. This requires completion of Quality History Analysis to make an assessment.</t>
        </r>
        <r>
          <rPr>
            <sz val="9"/>
            <color indexed="81"/>
            <rFont val="Tahoma"/>
            <family val="2"/>
          </rPr>
          <t xml:space="preserve">
</t>
        </r>
      </text>
    </comment>
  </commentList>
</comments>
</file>

<file path=xl/sharedStrings.xml><?xml version="1.0" encoding="utf-8"?>
<sst xmlns="http://schemas.openxmlformats.org/spreadsheetml/2006/main" count="410" uniqueCount="250">
  <si>
    <t>Change Level</t>
  </si>
  <si>
    <t>Design Parameters</t>
  </si>
  <si>
    <t>Dimensions</t>
  </si>
  <si>
    <t>Mass</t>
  </si>
  <si>
    <t>Layout/Geometry</t>
  </si>
  <si>
    <t>Materials</t>
  </si>
  <si>
    <t>Manufacturing &amp; Assembly</t>
  </si>
  <si>
    <t>Process</t>
  </si>
  <si>
    <t>Location/Plant</t>
  </si>
  <si>
    <t>Shipping/transport</t>
  </si>
  <si>
    <t>Physical/Energy (force, loads, torque etc.)</t>
  </si>
  <si>
    <t>Information/Signals</t>
  </si>
  <si>
    <t>Material Movement (oil, coolant, refrigerant, water etc.)</t>
  </si>
  <si>
    <t>Customers and External Environment</t>
  </si>
  <si>
    <t>New or Different Markets</t>
  </si>
  <si>
    <t>New or Different Market Segment (e.g. Truck vs Car)</t>
  </si>
  <si>
    <t>System Environment</t>
  </si>
  <si>
    <t>New Interfaces</t>
  </si>
  <si>
    <t>Changes to existing interfaces</t>
  </si>
  <si>
    <t>Changed functional requirements of interfacing systems</t>
  </si>
  <si>
    <t>Location in vehicle</t>
  </si>
  <si>
    <t>Outputs/Functions</t>
  </si>
  <si>
    <t>Consider: 
- New functions
- Target value changes</t>
  </si>
  <si>
    <t>Ford Requirements</t>
  </si>
  <si>
    <t>New requirements</t>
  </si>
  <si>
    <t>Changes to existing requirements</t>
  </si>
  <si>
    <t>External Requirements</t>
  </si>
  <si>
    <t>New or Changed Regulatory Requirements</t>
  </si>
  <si>
    <t>Other Stakeholder or customer requirements (e.g. fleets, public domain testing)</t>
  </si>
  <si>
    <t>Vehicle Program</t>
  </si>
  <si>
    <t>Model Year</t>
  </si>
  <si>
    <t>FMA Analysis Level</t>
  </si>
  <si>
    <t>Design Responsibility</t>
  </si>
  <si>
    <t>SALT Classification</t>
  </si>
  <si>
    <t>Item &amp; Process</t>
  </si>
  <si>
    <t>Change Analysis and Risk Assessment</t>
  </si>
  <si>
    <t>Change Area</t>
  </si>
  <si>
    <t>Boundary Diagram</t>
  </si>
  <si>
    <t>Quality History</t>
  </si>
  <si>
    <t>FMA Analysis Agreement</t>
  </si>
  <si>
    <t>FMA Application</t>
  </si>
  <si>
    <t>Sign Off</t>
  </si>
  <si>
    <t>Name</t>
  </si>
  <si>
    <t>Date</t>
  </si>
  <si>
    <t>Signature</t>
  </si>
  <si>
    <t>FMA Tools</t>
  </si>
  <si>
    <t>Application</t>
  </si>
  <si>
    <t>Simple Description of Change 
(or reason for N/A)</t>
  </si>
  <si>
    <t>Requirements/Functions</t>
  </si>
  <si>
    <t>Change Risk Summary - Aligned to FMA Plan</t>
  </si>
  <si>
    <t>Operating Environment (Noises &amp; Interfaces)</t>
  </si>
  <si>
    <t>Mechanism/Structure/Architecture</t>
  </si>
  <si>
    <t>Mandatory for all items with SALT classification of N, NTECH, MI, MJ</t>
  </si>
  <si>
    <t>Mandatory for all items except for items with  SALT classification of T or C</t>
  </si>
  <si>
    <t>SCCAF (Internal and External)</t>
  </si>
  <si>
    <t>Yellow fields indicate required data entry. Data entry is complete when no yellow is displayed</t>
  </si>
  <si>
    <t>Risk Assessment Comments/Justification</t>
  </si>
  <si>
    <t>Change Risk Summary Comments</t>
  </si>
  <si>
    <t>Risk Assess-ment</t>
  </si>
  <si>
    <t>CHANGE</t>
  </si>
  <si>
    <t>TOOLS TO UPDATE/CREATE (MINIMUM, TEAM MAY CHOOSE TO DO MORE)</t>
  </si>
  <si>
    <t>SCOPE</t>
  </si>
  <si>
    <t>New Interfaces (from boundary diagram)</t>
  </si>
  <si>
    <r>
      <t>·</t>
    </r>
    <r>
      <rPr>
        <sz val="7"/>
        <color theme="1"/>
        <rFont val="Times New Roman"/>
        <family val="1"/>
      </rPr>
      <t xml:space="preserve">      </t>
    </r>
    <r>
      <rPr>
        <sz val="11"/>
        <color theme="1"/>
        <rFont val="Calibri"/>
        <family val="2"/>
      </rPr>
      <t>Interface Analysis</t>
    </r>
  </si>
  <si>
    <r>
      <t>·</t>
    </r>
    <r>
      <rPr>
        <sz val="7"/>
        <color theme="1"/>
        <rFont val="Times New Roman"/>
        <family val="1"/>
      </rPr>
      <t xml:space="preserve">   </t>
    </r>
    <r>
      <rPr>
        <sz val="11"/>
        <color theme="1"/>
        <rFont val="Calibri"/>
        <family val="2"/>
      </rPr>
      <t>New Interfaces only</t>
    </r>
  </si>
  <si>
    <t>New Functions (including from interface analysis and engineering requirements)</t>
  </si>
  <si>
    <r>
      <t>·</t>
    </r>
    <r>
      <rPr>
        <sz val="7"/>
        <color theme="1"/>
        <rFont val="Times New Roman"/>
        <family val="1"/>
      </rPr>
      <t xml:space="preserve">      </t>
    </r>
    <r>
      <rPr>
        <sz val="11"/>
        <color theme="1"/>
        <rFont val="Calibri"/>
        <family val="2"/>
      </rPr>
      <t>DFMEA</t>
    </r>
  </si>
  <si>
    <r>
      <t>·</t>
    </r>
    <r>
      <rPr>
        <sz val="7"/>
        <color theme="1"/>
        <rFont val="Times New Roman"/>
        <family val="1"/>
      </rPr>
      <t xml:space="preserve">      </t>
    </r>
    <r>
      <rPr>
        <sz val="11"/>
        <color theme="1"/>
        <rFont val="Calibri"/>
        <family val="2"/>
      </rPr>
      <t>P-Diagram &amp; RCL</t>
    </r>
  </si>
  <si>
    <r>
      <t>·</t>
    </r>
    <r>
      <rPr>
        <sz val="7"/>
        <color theme="1"/>
        <rFont val="Times New Roman"/>
        <family val="1"/>
      </rPr>
      <t xml:space="preserve">      </t>
    </r>
    <r>
      <rPr>
        <sz val="11"/>
        <color theme="1"/>
        <rFont val="Calibri"/>
        <family val="2"/>
      </rPr>
      <t>RDM (required based on risk assessment from RCL)</t>
    </r>
  </si>
  <si>
    <r>
      <t>·</t>
    </r>
    <r>
      <rPr>
        <sz val="7"/>
        <color theme="1"/>
        <rFont val="Times New Roman"/>
        <family val="1"/>
      </rPr>
      <t xml:space="preserve">   </t>
    </r>
    <r>
      <rPr>
        <sz val="11"/>
        <color theme="1"/>
        <rFont val="Calibri"/>
        <family val="2"/>
      </rPr>
      <t>New Function only</t>
    </r>
  </si>
  <si>
    <t>New Failure Modes (from Quality History)</t>
  </si>
  <si>
    <r>
      <t>·</t>
    </r>
    <r>
      <rPr>
        <sz val="7"/>
        <color theme="1"/>
        <rFont val="Times New Roman"/>
        <family val="1"/>
      </rPr>
      <t xml:space="preserve">   </t>
    </r>
    <r>
      <rPr>
        <sz val="11"/>
        <color theme="1"/>
        <rFont val="Calibri"/>
        <family val="2"/>
      </rPr>
      <t>New Failure Modes</t>
    </r>
  </si>
  <si>
    <t>New Causes (from Quality History)</t>
  </si>
  <si>
    <r>
      <t>·</t>
    </r>
    <r>
      <rPr>
        <sz val="7"/>
        <color theme="1"/>
        <rFont val="Times New Roman"/>
        <family val="1"/>
      </rPr>
      <t xml:space="preserve">      </t>
    </r>
    <r>
      <rPr>
        <sz val="11"/>
        <color theme="1"/>
        <rFont val="Calibri"/>
        <family val="2"/>
      </rPr>
      <t>Nil – prevention and detection controls must be complete in the Quality History</t>
    </r>
  </si>
  <si>
    <r>
      <t>·</t>
    </r>
    <r>
      <rPr>
        <sz val="7"/>
        <color theme="1"/>
        <rFont val="Times New Roman"/>
        <family val="1"/>
      </rPr>
      <t xml:space="preserve">   </t>
    </r>
    <r>
      <rPr>
        <sz val="11"/>
        <color theme="1"/>
        <rFont val="Calibri"/>
        <family val="2"/>
      </rPr>
      <t>N/A</t>
    </r>
  </si>
  <si>
    <t>Changes to Interfaces Outside Verified range</t>
  </si>
  <si>
    <r>
      <t>·</t>
    </r>
    <r>
      <rPr>
        <sz val="7"/>
        <color theme="1"/>
        <rFont val="Times New Roman"/>
        <family val="1"/>
      </rPr>
      <t xml:space="preserve">   </t>
    </r>
    <r>
      <rPr>
        <sz val="11"/>
        <color theme="1"/>
        <rFont val="Calibri"/>
        <family val="2"/>
      </rPr>
      <t>Changed Interfaces only</t>
    </r>
  </si>
  <si>
    <t>Changes to Functions Outside verified range (including from interface analysis and engineering requirements)</t>
  </si>
  <si>
    <r>
      <t>·</t>
    </r>
    <r>
      <rPr>
        <sz val="7"/>
        <color theme="1"/>
        <rFont val="Times New Roman"/>
        <family val="1"/>
      </rPr>
      <t xml:space="preserve">      </t>
    </r>
    <r>
      <rPr>
        <sz val="11"/>
        <color theme="1"/>
        <rFont val="Calibri"/>
        <family val="2"/>
      </rPr>
      <t>P-Diagram &amp; RCL*</t>
    </r>
  </si>
  <si>
    <r>
      <t>·</t>
    </r>
    <r>
      <rPr>
        <sz val="7"/>
        <color theme="1"/>
        <rFont val="Times New Roman"/>
        <family val="1"/>
      </rPr>
      <t xml:space="preserve">      </t>
    </r>
    <r>
      <rPr>
        <sz val="11"/>
        <color theme="1"/>
        <rFont val="Calibri"/>
        <family val="2"/>
      </rPr>
      <t>RDM* (required based on risk assessment from RCL)</t>
    </r>
  </si>
  <si>
    <t>* Only need to be updated where there is an existing analysis</t>
  </si>
  <si>
    <r>
      <t>·</t>
    </r>
    <r>
      <rPr>
        <sz val="7"/>
        <color theme="1"/>
        <rFont val="Times New Roman"/>
        <family val="1"/>
      </rPr>
      <t xml:space="preserve">   </t>
    </r>
    <r>
      <rPr>
        <sz val="11"/>
        <color theme="1"/>
        <rFont val="Calibri"/>
        <family val="2"/>
      </rPr>
      <t>Changed Function only (full review)</t>
    </r>
  </si>
  <si>
    <t>New/Changed Noise Factors Outside verified range (system interactions, customer usage, external environment)</t>
  </si>
  <si>
    <r>
      <t>·</t>
    </r>
    <r>
      <rPr>
        <sz val="7"/>
        <color theme="1"/>
        <rFont val="Times New Roman"/>
        <family val="1"/>
      </rPr>
      <t xml:space="preserve">   </t>
    </r>
    <r>
      <rPr>
        <sz val="11"/>
        <color theme="1"/>
        <rFont val="Calibri"/>
        <family val="2"/>
      </rPr>
      <t>DFMEA – Causes</t>
    </r>
  </si>
  <si>
    <r>
      <t>·</t>
    </r>
    <r>
      <rPr>
        <sz val="7"/>
        <color theme="1"/>
        <rFont val="Times New Roman"/>
        <family val="1"/>
      </rPr>
      <t xml:space="preserve">   </t>
    </r>
    <r>
      <rPr>
        <sz val="11"/>
        <color theme="1"/>
        <rFont val="Calibri"/>
        <family val="2"/>
      </rPr>
      <t>P-Diagram, RCL &amp; RDM – Noise Factors</t>
    </r>
  </si>
  <si>
    <t>Design Parameters Outside verified range</t>
  </si>
  <si>
    <r>
      <t>·</t>
    </r>
    <r>
      <rPr>
        <sz val="7"/>
        <color theme="1"/>
        <rFont val="Times New Roman"/>
        <family val="1"/>
      </rPr>
      <t xml:space="preserve">      </t>
    </r>
    <r>
      <rPr>
        <sz val="11"/>
        <color theme="1"/>
        <rFont val="Calibri"/>
        <family val="2"/>
      </rPr>
      <t>SCCAF</t>
    </r>
  </si>
  <si>
    <r>
      <t>·</t>
    </r>
    <r>
      <rPr>
        <sz val="7"/>
        <color theme="1"/>
        <rFont val="Times New Roman"/>
        <family val="1"/>
      </rPr>
      <t xml:space="preserve">   </t>
    </r>
    <r>
      <rPr>
        <sz val="11"/>
        <color theme="1"/>
        <rFont val="Calibri"/>
        <family val="2"/>
      </rPr>
      <t>SCCAF – full document</t>
    </r>
  </si>
  <si>
    <t>Design Parameters within verified range</t>
  </si>
  <si>
    <t>Part number change</t>
  </si>
  <si>
    <t>Scope and Comments</t>
  </si>
  <si>
    <t>Change-Point-Approach Definition</t>
  </si>
  <si>
    <t>Industry Reference Point</t>
  </si>
  <si>
    <t>SAE J1739 JAN2009 Defines three basic cases for which FMEAs are generated:</t>
  </si>
  <si>
    <t>There are three basic cases for which FMEAs are generated, each with a different scope or focus:</t>
  </si>
  <si>
    <t>Case 1: New designs, new technology, or new process. The scope of the FMEA is the complete design, technology, or process.</t>
  </si>
  <si>
    <t>Case 2: Modifications to existing design or process (assumes there is an FMEA for the existing design or process). The scope of the revision efforts should focus on the modification to design or process, possible interactions due to the modification, and field performance. Modifications include removal or addition of new parts or processing operations. Modifications also include changes to existing product or process functions</t>
  </si>
  <si>
    <t>Case 3: Use of existing design or process in a new environment, location, or application (assumes there is an FMEA for the existing design or process). The scope of the revision is the impact of the new environment or location on the existing design or process.</t>
  </si>
  <si>
    <t>Further J1739 defined Product Family DFMEAs</t>
  </si>
  <si>
    <t>A product family FMEA is a specialized baseline design FMEA that generally contains consistent product boundaries and related functions. These would not typically change from one application to another. Added to this product family FMEA would be the new project specific components and related functions to complete the new product FMEA.</t>
  </si>
  <si>
    <t>Application to Ford in Support of FAP07-005</t>
  </si>
  <si>
    <t>The three cases defined in J1739 are implemented at Ford as the Change Point Approach and are referenced in FAP 07-005. Further the product family DFMEA is what in Ford is referred to as a Generic or Foundation DFMEA.</t>
  </si>
  <si>
    <t>For carryover components (including tuning within established tuning ranges) where the application is not changing no Change Point Analysis is required and no application FMA work is required[1]. Specifically steps 1 through 5 below are not required.</t>
  </si>
  <si>
    <t>For carryover components in a new application, location or environment; system level Change Point Analysis should be conducted to determine what system level FMA work is required to ensure failure free operation of the system including the carryover component. That is, the System level FMA analysis needs to ensure that the carryover component will not be exposed to changes outside of those for which the component has been verified.  Based on the System level analysis, if the team believe there is some risk, engineering teams may optionally choose to complete Change Point Analysis on Carryover components. Specifically steps 1 through 5 should be applied at the system level and may optionally be applied at the component level based on the system level analysis.</t>
  </si>
  <si>
    <t>How to apply the Change Point Approach for program application of on FMA changed components and systems/features:</t>
  </si>
  <si>
    <r>
      <t>1.</t>
    </r>
    <r>
      <rPr>
        <sz val="7"/>
        <color theme="1"/>
        <rFont val="Times New Roman"/>
        <family val="1"/>
      </rPr>
      <t xml:space="preserve">       </t>
    </r>
    <r>
      <rPr>
        <sz val="11"/>
        <color theme="1"/>
        <rFont val="Calibri"/>
        <family val="2"/>
      </rPr>
      <t>Establish change reference for:</t>
    </r>
  </si>
  <si>
    <r>
      <t>a.</t>
    </r>
    <r>
      <rPr>
        <sz val="7"/>
        <color theme="1"/>
        <rFont val="Times New Roman"/>
        <family val="1"/>
      </rPr>
      <t xml:space="preserve">       </t>
    </r>
    <r>
      <rPr>
        <sz val="11"/>
        <color theme="1"/>
        <rFont val="Calibri"/>
        <family val="2"/>
      </rPr>
      <t>FMA documents – Foundation/Generic or prior program.</t>
    </r>
  </si>
  <si>
    <r>
      <t>b.</t>
    </r>
    <r>
      <rPr>
        <sz val="7"/>
        <color theme="1"/>
        <rFont val="Times New Roman"/>
        <family val="1"/>
      </rPr>
      <t xml:space="preserve">       </t>
    </r>
    <r>
      <rPr>
        <sz val="11"/>
        <color theme="1"/>
        <rFont val="Calibri"/>
        <family val="2"/>
      </rPr>
      <t>Surrogate design or designs</t>
    </r>
  </si>
  <si>
    <t>2.       Update/Create Quality History.[2]</t>
  </si>
  <si>
    <t>3.       Update/Create Boundary Diagram.[3]</t>
  </si>
  <si>
    <r>
      <t>4.</t>
    </r>
    <r>
      <rPr>
        <sz val="7"/>
        <color theme="1"/>
        <rFont val="Times New Roman"/>
        <family val="1"/>
      </rPr>
      <t xml:space="preserve">       </t>
    </r>
    <r>
      <rPr>
        <sz val="11"/>
        <color theme="1"/>
        <rFont val="Calibri"/>
        <family val="2"/>
      </rPr>
      <t>Complete Change Point Analysis using Change Point Analysis Worksheet.</t>
    </r>
  </si>
  <si>
    <r>
      <t>5.</t>
    </r>
    <r>
      <rPr>
        <sz val="7"/>
        <color theme="1"/>
        <rFont val="Times New Roman"/>
        <family val="1"/>
      </rPr>
      <t xml:space="preserve">       </t>
    </r>
    <r>
      <rPr>
        <sz val="11"/>
        <color theme="1"/>
        <rFont val="Calibri"/>
        <family val="2"/>
      </rPr>
      <t>Based on the completed Change Point Analysis and Quality History the minimum level of FMA application and scope of application is defined in the table below. Note that these are minimum requirements; engineering teams may choose to broaden the analysis tools and scope.</t>
    </r>
  </si>
  <si>
    <t>DFMEA and Other FMA tools are required to be updated/created with scope as shown in the table below. Where multiple change conditions exist, the required updates and scope is the combination of the updates and scopes listed.</t>
  </si>
  <si>
    <t>·      Nil – prevention and detection controls must be complete in the Quality History[4]</t>
  </si>
  <si>
    <t>All prevention and detection controls from the reference documents (QH, DFMEA, RCL) must be applied to the program. This may be directly or through an analysis that shows the control will carryover from the prior design.</t>
  </si>
  <si>
    <t>Abbreviations</t>
  </si>
  <si>
    <t>QH – Quality History</t>
  </si>
  <si>
    <t>P-Diagram – Parameter Diagram</t>
  </si>
  <si>
    <t>DFMEA – Design Failure Modes and Effects Analysis</t>
  </si>
  <si>
    <t>SCCAF – Special Characteristics Communication and Agreement Form</t>
  </si>
  <si>
    <t>RCL – Robustness Check List</t>
  </si>
  <si>
    <t>RDM – Robustness Demonstration Matrix</t>
  </si>
  <si>
    <t>[1] SCCAF required if manufacturing source is changed for carryover design and for tuning items where tuneable characteristics are YS or YC</t>
  </si>
  <si>
    <t>[2] Quality History is required since last documented QH analysis included in the reference DFMEA. If no documented prior Quality History Analysis then minimum: 10 years for FSAs, Prior program for engineering/development issues and 3 years for all other sources</t>
  </si>
  <si>
    <t>[3] Not required for software only changes</t>
  </si>
  <si>
    <t>[4] Quality History must be communicated to core team for incorporation into foundation/generic DFMEA and standards/requirements/design rules.</t>
  </si>
  <si>
    <t>Position</t>
  </si>
  <si>
    <t>Quality History Concerns*</t>
  </si>
  <si>
    <t>* Identifies items where quality history indicates that there are Failure Modes not included in the existing or surrogate DFMEA. This requires completion of Quality History Analysis to make an assessment.</t>
  </si>
  <si>
    <t>-</t>
  </si>
  <si>
    <t>Apply?</t>
  </si>
  <si>
    <t>Scope</t>
  </si>
  <si>
    <t>Tool</t>
  </si>
  <si>
    <t>FMA Application Guidance</t>
  </si>
  <si>
    <t>Cannot be Assessed by CPA</t>
  </si>
  <si>
    <t>Changes Identified through this Analysis</t>
  </si>
  <si>
    <t>Application Specific Boundary Diagram</t>
  </si>
  <si>
    <t>Application Specific Quality History</t>
  </si>
  <si>
    <t>Application Specific Interface Table</t>
  </si>
  <si>
    <t>Application Specific DFMEA</t>
  </si>
  <si>
    <t>New</t>
  </si>
  <si>
    <t>Engineering Manager (LL5+)</t>
  </si>
  <si>
    <t>Engineering Supervisor (LL6)</t>
  </si>
  <si>
    <t>Quality or DA Supervisor/Manager (LL6+)</t>
  </si>
  <si>
    <t>Design Parameters outside Verified Range</t>
  </si>
  <si>
    <t>Functions New or Changed outside Verified Range</t>
  </si>
  <si>
    <t>Noise Factors New or Changed outside Verified Range</t>
  </si>
  <si>
    <t>Manufacturing New or Changed</t>
  </si>
  <si>
    <t>Interfaces New or Changed outside Verified Range</t>
  </si>
  <si>
    <t>The table above gives guidance on minimum recommended FMA tool application based on the change summary referencing the Change Scope Table. The team should consider this a guidance only, Yes indicates the tool is recommended, the absence of a Yes does not indicate the tool should not be used - the engineering team may still choose to apply the tool and should carefully consider each tool and if it will be useful. The over-riding principal is that FMA tools should be applied where they will be useful in completing the engineering. Where minimum recommended tools are not to be applied, the engineering team should have strong reasons why they will not be useful in completing the engineering and record these in the Scope and Comments field.</t>
  </si>
  <si>
    <t>Manufacturing</t>
  </si>
  <si>
    <t>Functions</t>
  </si>
  <si>
    <t>Noises</t>
  </si>
  <si>
    <t>Interfaces</t>
  </si>
  <si>
    <t>Change Risk Summary Mapping</t>
  </si>
  <si>
    <r>
      <t xml:space="preserve">Inputs
</t>
    </r>
    <r>
      <rPr>
        <sz val="8"/>
        <color theme="1"/>
        <rFont val="Arial"/>
        <family val="2"/>
      </rPr>
      <t xml:space="preserve">Consider: </t>
    </r>
  </si>
  <si>
    <t>- New inputs
- Changes in value of existing inputs</t>
  </si>
  <si>
    <t>Assigned FMA Coach:</t>
  </si>
  <si>
    <t>Level:</t>
  </si>
  <si>
    <t>FMA Coaching</t>
  </si>
  <si>
    <t>Design Starting Point</t>
  </si>
  <si>
    <t>Application Specific Robustness Analysis (detail required of scope based on Function and Noise Factor Changes above)</t>
  </si>
  <si>
    <t>Signoff must be completed either physically or electronically. If electronic signoff is used an appropriate audit trail must be maintained. DocuSign is recommended method for electronic signoff.</t>
  </si>
  <si>
    <t>Body Exterior</t>
  </si>
  <si>
    <t>Exterior &amp; Structural Systems</t>
  </si>
  <si>
    <t xml:space="preserve">Underbody Systems </t>
  </si>
  <si>
    <t xml:space="preserve">Interior Systems </t>
  </si>
  <si>
    <t>Electrified Systems</t>
  </si>
  <si>
    <t>ICE Propulsion &amp; Thermal Systems</t>
  </si>
  <si>
    <t>Vehicle Software &amp; Electronic Solutions </t>
  </si>
  <si>
    <t>Features, Software Integration &amp; Validation</t>
  </si>
  <si>
    <t>Enterprise Connectivity</t>
  </si>
  <si>
    <t>Architecture &amp; Software Platform </t>
  </si>
  <si>
    <t>DAT Features &amp; Software </t>
  </si>
  <si>
    <t>Vehicle Propulsion Systems Engr.</t>
  </si>
  <si>
    <t>Body Interior</t>
  </si>
  <si>
    <t>Chassis</t>
  </si>
  <si>
    <t>Powertrain</t>
  </si>
  <si>
    <t>EESE</t>
  </si>
  <si>
    <t>Electronic Function/Software (incl Calibration and Module Configurations)</t>
  </si>
  <si>
    <t>Existing FMA Analysis Assessment</t>
  </si>
  <si>
    <t>Requested Updates</t>
  </si>
  <si>
    <t>Other</t>
  </si>
  <si>
    <t>Supported Program Application</t>
  </si>
  <si>
    <t>Scope/Details</t>
  </si>
  <si>
    <t>Agreed Updates</t>
  </si>
  <si>
    <t>Signoff</t>
  </si>
  <si>
    <t>Core Engineer</t>
  </si>
  <si>
    <t>Core Manager (LL5+)</t>
  </si>
  <si>
    <t>Update Request</t>
  </si>
  <si>
    <t>Core / Foundation Updates</t>
  </si>
  <si>
    <t>Other supporting core /foundation documents requested to be updated to support application (eg SCCAF, P-Diagrams)? 
Detail documents and Scope</t>
  </si>
  <si>
    <t>Core / Foundation DFMEA</t>
  </si>
  <si>
    <t>Core / Foundation SCCAF(s)</t>
  </si>
  <si>
    <t>Core / Foundation P-Diagram(s)</t>
  </si>
  <si>
    <t>Core / Foundation RCLs</t>
  </si>
  <si>
    <t>Core / Foundation SCCAF</t>
  </si>
  <si>
    <t>Core / Foundation Boundary Diagram / Interface Analysis</t>
  </si>
  <si>
    <t>Due Milestone</t>
  </si>
  <si>
    <t>Update Agreed</t>
  </si>
  <si>
    <t>Centre of Excellence / Engineering Function</t>
  </si>
  <si>
    <t>Date:</t>
  </si>
  <si>
    <t>Revision Level:</t>
  </si>
  <si>
    <t>Starting DFMEA Score for this application (based on Changes identified above for this application)</t>
  </si>
  <si>
    <t>Core / Foundation DFMEA &amp; FMA Update Agreement</t>
  </si>
  <si>
    <t>Requested Milestone</t>
  </si>
  <si>
    <t>Milestone Date</t>
  </si>
  <si>
    <t>If engineering scope changes sufficient to change required FMA tools application then CPA to be updated, updated CPA signed in support of the next engineering milestone</t>
  </si>
  <si>
    <t>Existing DFMEA Score</t>
  </si>
  <si>
    <t>Scope/Details OR 
Reason for Not Updating</t>
  </si>
  <si>
    <t>Responsible Person
Name &amp; CDSID</t>
  </si>
  <si>
    <t>Existing DFMEA Type</t>
  </si>
  <si>
    <t>Core/Foundation DFMEA update requested to support application (Yes/No and description of scope)</t>
  </si>
  <si>
    <r>
      <t xml:space="preserve">Change Point Analysis Worksheet </t>
    </r>
    <r>
      <rPr>
        <sz val="8"/>
        <color theme="0"/>
        <rFont val="Arial"/>
        <family val="2"/>
      </rPr>
      <t>V1.31</t>
    </r>
  </si>
  <si>
    <t>Feature</t>
  </si>
  <si>
    <t>CX821</t>
    <phoneticPr fontId="34" type="noConversion"/>
  </si>
  <si>
    <t>Minor</t>
  </si>
  <si>
    <t>Nil</t>
  </si>
  <si>
    <t>N/A</t>
  </si>
  <si>
    <t>Yes</t>
  </si>
  <si>
    <t>Chen Emma</t>
    <phoneticPr fontId="34" type="noConversion"/>
  </si>
  <si>
    <t>New solutions due to supplier changes</t>
  </si>
  <si>
    <t>Compatible with the features of previous projects, more resources provided</t>
    <phoneticPr fontId="34" type="noConversion"/>
  </si>
  <si>
    <t>Not applicable to SW</t>
    <phoneticPr fontId="34" type="noConversion"/>
  </si>
  <si>
    <t>No signal change</t>
    <phoneticPr fontId="34" type="noConversion"/>
  </si>
  <si>
    <t>No change</t>
    <phoneticPr fontId="34" type="noConversion"/>
  </si>
  <si>
    <t>Delivered on schedule</t>
    <phoneticPr fontId="34" type="noConversion"/>
  </si>
  <si>
    <t>No change in testing method</t>
    <phoneticPr fontId="34" type="noConversion"/>
  </si>
  <si>
    <t>No</t>
  </si>
  <si>
    <t>None</t>
  </si>
  <si>
    <t>Ford</t>
  </si>
  <si>
    <t>For new interface and new requirements only.</t>
    <phoneticPr fontId="34" type="noConversion"/>
  </si>
  <si>
    <t>Wu Forrest</t>
    <phoneticPr fontId="34" type="noConversion"/>
  </si>
  <si>
    <t>Other Surrogate</t>
  </si>
  <si>
    <t>Geng Dekang</t>
  </si>
  <si>
    <t>场景卡片 Mode Card</t>
  </si>
  <si>
    <r>
      <t xml:space="preserve">IVI Vehicle control </t>
    </r>
    <r>
      <rPr>
        <sz val="10"/>
        <color theme="1"/>
        <rFont val="DengXian"/>
        <family val="2"/>
        <charset val="134"/>
      </rPr>
      <t>场景卡片</t>
    </r>
  </si>
  <si>
    <t>No change</t>
  </si>
  <si>
    <t>minor risk</t>
  </si>
  <si>
    <t>minor change on existing interfaces 
Example: minor interface change with cluster based on existing relax mode</t>
  </si>
  <si>
    <t>N</t>
  </si>
  <si>
    <t>Major</t>
  </si>
  <si>
    <t>information change</t>
  </si>
  <si>
    <t>interface call for logic change</t>
  </si>
  <si>
    <t>Changed</t>
  </si>
  <si>
    <t>interface call change</t>
  </si>
  <si>
    <t>P-Diagram Only</t>
  </si>
  <si>
    <t>Xu Daisy</t>
  </si>
  <si>
    <t>Fang Derek</t>
  </si>
  <si>
    <t>Change to exsiting interfaces of APIM and combine this interface for customer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</si>
</sst>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C09]dd\-mmm\-yy;@"/>
    <numFmt numFmtId="166" formatCode="[$-C09]dd\-mmmm\-yyyy;@"/>
  </numFmts>
  <fonts count="36" x14ac:knownFonts="1">
    <font>
      <sz val="10"/>
      <color theme="1"/>
      <name val="Arial"/>
      <family val="2"/>
    </font>
    <font>
      <b/>
      <sz val="10"/>
      <color theme="1"/>
      <name val="Arial"/>
      <family val="2"/>
    </font>
    <font>
      <b/>
      <sz val="12"/>
      <color theme="1"/>
      <name val="Arial"/>
      <family val="2"/>
    </font>
    <font>
      <sz val="8"/>
      <color theme="1"/>
      <name val="Arial"/>
      <family val="2"/>
    </font>
    <font>
      <sz val="10"/>
      <color theme="1"/>
      <name val="Arial"/>
      <family val="2"/>
    </font>
    <font>
      <b/>
      <sz val="10"/>
      <color theme="0" tint="-0.14999847407452621"/>
      <name val="Arial"/>
      <family val="2"/>
    </font>
    <font>
      <sz val="10"/>
      <color theme="0" tint="-0.14999847407452621"/>
      <name val="Arial"/>
      <family val="2"/>
    </font>
    <font>
      <sz val="10"/>
      <name val="Arial"/>
      <family val="2"/>
    </font>
    <font>
      <b/>
      <sz val="10"/>
      <name val="Arial"/>
      <family val="2"/>
    </font>
    <font>
      <b/>
      <sz val="17"/>
      <color theme="1"/>
      <name val="Arial"/>
      <family val="2"/>
    </font>
    <font>
      <sz val="11"/>
      <color theme="1"/>
      <name val="Calibri"/>
      <family val="2"/>
    </font>
    <font>
      <b/>
      <sz val="11"/>
      <color theme="1"/>
      <name val="Calibri"/>
      <family val="2"/>
    </font>
    <font>
      <b/>
      <sz val="11"/>
      <color rgb="FFFFFFFF"/>
      <name val="Calibri"/>
      <family val="2"/>
    </font>
    <font>
      <sz val="11"/>
      <color theme="1"/>
      <name val="Symbol"/>
      <family val="1"/>
      <charset val="2"/>
    </font>
    <font>
      <sz val="7"/>
      <color theme="1"/>
      <name val="Times New Roman"/>
      <family val="1"/>
    </font>
    <font>
      <b/>
      <sz val="12"/>
      <color theme="0"/>
      <name val="Arial"/>
      <family val="2"/>
    </font>
    <font>
      <sz val="16"/>
      <color rgb="FF2E74B5"/>
      <name val="Calibri Light"/>
      <family val="2"/>
    </font>
    <font>
      <sz val="13"/>
      <color rgb="FF2E74B5"/>
      <name val="Calibri Light"/>
      <family val="2"/>
    </font>
    <font>
      <i/>
      <sz val="11"/>
      <color theme="1"/>
      <name val="Calibri"/>
      <family val="2"/>
    </font>
    <font>
      <sz val="12"/>
      <color rgb="FF1F4D78"/>
      <name val="Calibri Light"/>
      <family val="2"/>
    </font>
    <font>
      <u/>
      <sz val="10"/>
      <color theme="10"/>
      <name val="Arial"/>
      <family val="2"/>
    </font>
    <font>
      <b/>
      <sz val="11"/>
      <color theme="1"/>
      <name val="Arial"/>
      <family val="2"/>
    </font>
    <font>
      <sz val="10"/>
      <color theme="0"/>
      <name val="Arial"/>
      <family val="2"/>
    </font>
    <font>
      <sz val="11"/>
      <color theme="1"/>
      <name val="Arial"/>
      <family val="2"/>
    </font>
    <font>
      <b/>
      <sz val="26"/>
      <color theme="0"/>
      <name val="Arial"/>
      <family val="2"/>
    </font>
    <font>
      <b/>
      <sz val="14"/>
      <color theme="1"/>
      <name val="Arial"/>
      <family val="2"/>
    </font>
    <font>
      <sz val="8"/>
      <color theme="0"/>
      <name val="Arial"/>
      <family val="2"/>
    </font>
    <font>
      <u/>
      <sz val="10"/>
      <color theme="1"/>
      <name val="Arial"/>
      <family val="2"/>
    </font>
    <font>
      <sz val="9"/>
      <color indexed="81"/>
      <name val="Calibri"/>
      <family val="2"/>
      <scheme val="minor"/>
    </font>
    <font>
      <b/>
      <i/>
      <sz val="9"/>
      <color indexed="81"/>
      <name val="Calibri"/>
      <family val="2"/>
      <scheme val="minor"/>
    </font>
    <font>
      <b/>
      <sz val="9"/>
      <color indexed="81"/>
      <name val="Calibri"/>
      <family val="2"/>
      <scheme val="minor"/>
    </font>
    <font>
      <b/>
      <sz val="16"/>
      <color theme="0"/>
      <name val="Arial"/>
      <family val="2"/>
    </font>
    <font>
      <sz val="9"/>
      <color indexed="81"/>
      <name val="Tahoma"/>
      <family val="2"/>
    </font>
    <font>
      <b/>
      <sz val="9"/>
      <color indexed="81"/>
      <name val="Tahoma"/>
      <family val="2"/>
    </font>
    <font>
      <sz val="9"/>
      <name val="DengXian"/>
      <family val="3"/>
      <charset val="134"/>
    </font>
    <font>
      <sz val="10"/>
      <color theme="1"/>
      <name val="DengXian"/>
      <family val="2"/>
      <charset val="134"/>
    </font>
  </fonts>
  <fills count="16">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5B9BD5"/>
        <bgColor indexed="64"/>
      </patternFill>
    </fill>
    <fill>
      <patternFill patternType="solid">
        <fgColor rgb="FFED7D31"/>
        <bgColor indexed="64"/>
      </patternFill>
    </fill>
    <fill>
      <patternFill patternType="solid">
        <fgColor rgb="FFFBE4D5"/>
        <bgColor indexed="64"/>
      </patternFill>
    </fill>
    <fill>
      <patternFill patternType="solid">
        <fgColor theme="0" tint="-0.499984740745262"/>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theme="4" tint="0.39997558519241921"/>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rgb="FFED7D31"/>
      </left>
      <right style="medium">
        <color rgb="FFFFFFFF"/>
      </right>
      <top style="medium">
        <color rgb="FFED7D31"/>
      </top>
      <bottom style="medium">
        <color rgb="FFED7D31"/>
      </bottom>
      <diagonal/>
    </border>
    <border>
      <left/>
      <right style="medium">
        <color rgb="FFFFFFFF"/>
      </right>
      <top style="medium">
        <color rgb="FFED7D31"/>
      </top>
      <bottom style="medium">
        <color rgb="FFED7D31"/>
      </bottom>
      <diagonal/>
    </border>
    <border>
      <left/>
      <right style="medium">
        <color rgb="FFED7D31"/>
      </right>
      <top style="medium">
        <color rgb="FFED7D31"/>
      </top>
      <bottom style="medium">
        <color rgb="FFED7D31"/>
      </bottom>
      <diagonal/>
    </border>
    <border>
      <left style="medium">
        <color rgb="FFF4B083"/>
      </left>
      <right style="medium">
        <color rgb="FFF4B083"/>
      </right>
      <top/>
      <bottom style="medium">
        <color rgb="FFF4B083"/>
      </bottom>
      <diagonal/>
    </border>
    <border>
      <left/>
      <right style="medium">
        <color rgb="FFF4B083"/>
      </right>
      <top/>
      <bottom style="medium">
        <color rgb="FFF4B083"/>
      </bottom>
      <diagonal/>
    </border>
    <border>
      <left style="medium">
        <color rgb="FFF4B083"/>
      </left>
      <right style="medium">
        <color rgb="FFF4B083"/>
      </right>
      <top/>
      <bottom/>
      <diagonal/>
    </border>
    <border>
      <left/>
      <right style="medium">
        <color rgb="FFF4B083"/>
      </right>
      <top/>
      <bottom/>
      <diagonal/>
    </border>
    <border>
      <left style="medium">
        <color rgb="FFF4B083"/>
      </left>
      <right style="medium">
        <color rgb="FFF4B083"/>
      </right>
      <top style="medium">
        <color rgb="FFF4B083"/>
      </top>
      <bottom/>
      <diagonal/>
    </border>
    <border>
      <left style="medium">
        <color rgb="FFF4B083"/>
      </left>
      <right/>
      <top/>
      <bottom/>
      <diagonal/>
    </border>
    <border>
      <left style="medium">
        <color rgb="FFF4B083"/>
      </left>
      <right/>
      <top style="medium">
        <color rgb="FFF4B083"/>
      </top>
      <bottom/>
      <diagonal/>
    </border>
    <border>
      <left style="medium">
        <color rgb="FFF4B083"/>
      </left>
      <right/>
      <top/>
      <bottom style="medium">
        <color rgb="FFF4B083"/>
      </bottom>
      <diagonal/>
    </border>
    <border>
      <left/>
      <right/>
      <top/>
      <bottom style="medium">
        <color rgb="FFF4B083"/>
      </bottom>
      <diagonal/>
    </border>
    <border>
      <left/>
      <right style="medium">
        <color rgb="FF0070C0"/>
      </right>
      <top style="medium">
        <color rgb="FF0070C0"/>
      </top>
      <bottom style="medium">
        <color rgb="FF0070C0"/>
      </bottom>
      <diagonal/>
    </border>
    <border>
      <left/>
      <right/>
      <top style="medium">
        <color rgb="FFF4B083"/>
      </top>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rgb="FF0070C0"/>
      </right>
      <top style="medium">
        <color rgb="FF0070C0"/>
      </top>
      <bottom/>
      <diagonal/>
    </border>
    <border>
      <left/>
      <right style="medium">
        <color rgb="FF0070C0"/>
      </right>
      <top/>
      <bottom style="medium">
        <color rgb="FF0070C0"/>
      </bottom>
      <diagonal/>
    </border>
    <border>
      <left/>
      <right/>
      <top style="medium">
        <color rgb="FFED7D31"/>
      </top>
      <bottom/>
      <diagonal/>
    </border>
    <border>
      <left style="medium">
        <color rgb="FFF4B083"/>
      </left>
      <right/>
      <top style="medium">
        <color rgb="FFED7D31"/>
      </top>
      <bottom/>
      <diagonal/>
    </border>
    <border>
      <left style="medium">
        <color rgb="FFF4B083"/>
      </left>
      <right style="medium">
        <color rgb="FFF4B083"/>
      </right>
      <top style="medium">
        <color rgb="FFED7D31"/>
      </top>
      <bottom/>
      <diagonal/>
    </border>
    <border>
      <left/>
      <right style="medium">
        <color rgb="FFFFFFFF"/>
      </right>
      <top style="medium">
        <color rgb="FFED7D31"/>
      </top>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medium">
        <color indexed="64"/>
      </bottom>
      <diagonal/>
    </border>
  </borders>
  <cellStyleXfs count="3">
    <xf numFmtId="0" fontId="0" fillId="0" borderId="0"/>
    <xf numFmtId="9" fontId="4" fillId="0" borderId="0" applyFont="0" applyFill="0" applyBorder="0" applyAlignment="0" applyProtection="0"/>
    <xf numFmtId="0" fontId="20" fillId="0" borderId="0" applyNumberFormat="0" applyFill="0" applyBorder="0" applyAlignment="0" applyProtection="0"/>
  </cellStyleXfs>
  <cellXfs count="322">
    <xf numFmtId="0" fontId="0" fillId="0" borderId="0" xfId="0"/>
    <xf numFmtId="0" fontId="12" fillId="7" borderId="26" xfId="0" applyFont="1" applyFill="1" applyBorder="1" applyAlignment="1">
      <alignment horizontal="center" vertical="center" wrapText="1"/>
    </xf>
    <xf numFmtId="0" fontId="12" fillId="7" borderId="27" xfId="0" applyFont="1" applyFill="1" applyBorder="1" applyAlignment="1">
      <alignment horizontal="center" vertical="center" wrapText="1"/>
    </xf>
    <xf numFmtId="0" fontId="12" fillId="7" borderId="28" xfId="0" applyFont="1" applyFill="1" applyBorder="1" applyAlignment="1">
      <alignment horizontal="center" vertical="center" wrapText="1"/>
    </xf>
    <xf numFmtId="0" fontId="13" fillId="8" borderId="30" xfId="0" applyFont="1" applyFill="1" applyBorder="1" applyAlignment="1">
      <alignment horizontal="left" vertical="center" wrapText="1" indent="1"/>
    </xf>
    <xf numFmtId="0" fontId="13" fillId="0" borderId="32" xfId="0" applyFont="1" applyBorder="1" applyAlignment="1">
      <alignment horizontal="left" vertical="center" wrapText="1" indent="1"/>
    </xf>
    <xf numFmtId="0" fontId="13" fillId="0" borderId="30" xfId="0" applyFont="1" applyBorder="1" applyAlignment="1">
      <alignment horizontal="left" vertical="center" wrapText="1" indent="1"/>
    </xf>
    <xf numFmtId="0" fontId="10" fillId="0" borderId="30" xfId="0" applyFont="1" applyBorder="1" applyAlignment="1">
      <alignment horizontal="left" vertical="center" wrapText="1" indent="1"/>
    </xf>
    <xf numFmtId="0" fontId="13" fillId="8" borderId="32" xfId="0" applyFont="1" applyFill="1" applyBorder="1" applyAlignment="1">
      <alignment horizontal="left" vertical="center" wrapText="1" indent="1"/>
    </xf>
    <xf numFmtId="0" fontId="10" fillId="8" borderId="30" xfId="0" applyFont="1" applyFill="1" applyBorder="1" applyAlignment="1">
      <alignment vertical="center" wrapText="1"/>
    </xf>
    <xf numFmtId="0" fontId="0" fillId="8" borderId="32" xfId="0" applyFill="1" applyBorder="1" applyAlignment="1">
      <alignment vertical="top" wrapText="1"/>
    </xf>
    <xf numFmtId="0" fontId="0" fillId="8" borderId="30" xfId="0" applyFill="1" applyBorder="1" applyAlignment="1">
      <alignment vertical="top" wrapText="1"/>
    </xf>
    <xf numFmtId="0" fontId="11" fillId="0" borderId="29" xfId="0" applyFont="1" applyBorder="1" applyAlignment="1">
      <alignment vertical="center" wrapText="1"/>
    </xf>
    <xf numFmtId="0" fontId="11" fillId="8" borderId="29" xfId="0" applyFont="1" applyFill="1" applyBorder="1" applyAlignment="1">
      <alignment vertical="center" wrapText="1"/>
    </xf>
    <xf numFmtId="0" fontId="20" fillId="0" borderId="30" xfId="2" applyBorder="1" applyAlignment="1">
      <alignment horizontal="left" vertical="center" wrapText="1" indent="1"/>
    </xf>
    <xf numFmtId="0" fontId="10" fillId="0" borderId="0" xfId="0" applyFont="1" applyAlignment="1">
      <alignment horizontal="left" vertical="center" wrapText="1" indent="1"/>
    </xf>
    <xf numFmtId="0" fontId="16" fillId="0" borderId="0" xfId="0" applyFont="1" applyAlignment="1">
      <alignment vertical="center" wrapText="1"/>
    </xf>
    <xf numFmtId="0" fontId="17" fillId="0" borderId="0" xfId="0" applyFont="1" applyAlignment="1">
      <alignment vertical="center" wrapText="1"/>
    </xf>
    <xf numFmtId="0" fontId="10" fillId="0" borderId="0" xfId="0" applyFont="1" applyAlignment="1">
      <alignment vertical="center" wrapText="1"/>
    </xf>
    <xf numFmtId="0" fontId="18" fillId="0" borderId="0" xfId="0" applyFont="1" applyAlignment="1">
      <alignment vertical="center" wrapText="1"/>
    </xf>
    <xf numFmtId="0" fontId="20" fillId="0" borderId="0" xfId="2" applyAlignment="1">
      <alignment vertical="center" wrapText="1"/>
    </xf>
    <xf numFmtId="0" fontId="10" fillId="0" borderId="0" xfId="0" applyFont="1" applyAlignment="1">
      <alignment horizontal="left" vertical="center" wrapText="1"/>
    </xf>
    <xf numFmtId="0" fontId="20" fillId="0" borderId="0" xfId="2" applyAlignment="1">
      <alignment horizontal="left" vertical="center" wrapText="1"/>
    </xf>
    <xf numFmtId="0" fontId="19" fillId="0" borderId="0" xfId="0" applyFont="1" applyAlignment="1">
      <alignment vertical="center" wrapText="1"/>
    </xf>
    <xf numFmtId="0" fontId="0" fillId="0" borderId="0" xfId="0" applyAlignment="1">
      <alignment wrapText="1"/>
    </xf>
    <xf numFmtId="0" fontId="12" fillId="10" borderId="0" xfId="0" applyFont="1" applyFill="1" applyBorder="1" applyAlignment="1">
      <alignment horizontal="center" vertical="center" wrapText="1"/>
    </xf>
    <xf numFmtId="0" fontId="13" fillId="0" borderId="0" xfId="0" applyFont="1" applyBorder="1" applyAlignment="1">
      <alignment horizontal="left" vertical="center" wrapText="1" indent="1"/>
    </xf>
    <xf numFmtId="0" fontId="13" fillId="0" borderId="37" xfId="0" applyFont="1" applyBorder="1" applyAlignment="1">
      <alignment horizontal="left" vertical="center" wrapText="1" indent="1"/>
    </xf>
    <xf numFmtId="0" fontId="11" fillId="8" borderId="36" xfId="0" applyFont="1" applyFill="1" applyBorder="1" applyAlignment="1">
      <alignment vertical="center" wrapText="1"/>
    </xf>
    <xf numFmtId="0" fontId="13" fillId="8" borderId="37" xfId="0" applyFont="1" applyFill="1" applyBorder="1" applyAlignment="1">
      <alignment horizontal="left" vertical="center" wrapText="1" indent="1"/>
    </xf>
    <xf numFmtId="0" fontId="11" fillId="0" borderId="36" xfId="0" applyFont="1" applyBorder="1" applyAlignment="1">
      <alignment vertical="center" wrapText="1"/>
    </xf>
    <xf numFmtId="0" fontId="10" fillId="0" borderId="37" xfId="0" applyFont="1" applyBorder="1" applyAlignment="1">
      <alignment horizontal="left" vertical="center" wrapText="1" indent="1"/>
    </xf>
    <xf numFmtId="0" fontId="13" fillId="8" borderId="0" xfId="0" applyFont="1" applyFill="1" applyBorder="1" applyAlignment="1">
      <alignment horizontal="left" vertical="center" wrapText="1" indent="1"/>
    </xf>
    <xf numFmtId="0" fontId="10" fillId="8" borderId="37" xfId="0" applyFont="1" applyFill="1" applyBorder="1" applyAlignment="1">
      <alignment vertical="center" wrapText="1"/>
    </xf>
    <xf numFmtId="0" fontId="0" fillId="8" borderId="0" xfId="0" applyFill="1" applyBorder="1" applyAlignment="1">
      <alignment vertical="top" wrapText="1"/>
    </xf>
    <xf numFmtId="0" fontId="0" fillId="8" borderId="37" xfId="0" applyFill="1" applyBorder="1" applyAlignment="1">
      <alignment vertical="top" wrapText="1"/>
    </xf>
    <xf numFmtId="0" fontId="0" fillId="11" borderId="38" xfId="0" applyFill="1" applyBorder="1" applyAlignment="1">
      <alignment horizontal="center" vertical="center"/>
    </xf>
    <xf numFmtId="0" fontId="0" fillId="0" borderId="38" xfId="0" applyBorder="1" applyAlignment="1">
      <alignment horizontal="center" vertical="center"/>
    </xf>
    <xf numFmtId="0" fontId="0" fillId="0" borderId="1" xfId="0" applyFill="1" applyBorder="1" applyAlignment="1" applyProtection="1">
      <alignment vertical="center" wrapText="1"/>
      <protection locked="0"/>
    </xf>
    <xf numFmtId="0" fontId="13" fillId="8" borderId="55" xfId="0" applyFont="1" applyFill="1" applyBorder="1" applyAlignment="1">
      <alignment horizontal="left" vertical="center" wrapText="1" indent="1"/>
    </xf>
    <xf numFmtId="0" fontId="13" fillId="8" borderId="33" xfId="0" applyFont="1" applyFill="1" applyBorder="1" applyAlignment="1">
      <alignment horizontal="left" vertical="center" wrapText="1" indent="1"/>
    </xf>
    <xf numFmtId="0" fontId="13" fillId="8" borderId="29" xfId="0" applyFont="1" applyFill="1" applyBorder="1" applyAlignment="1">
      <alignment horizontal="left" vertical="center" wrapText="1" indent="1"/>
    </xf>
    <xf numFmtId="0" fontId="12" fillId="7" borderId="58" xfId="0" applyFont="1" applyFill="1" applyBorder="1" applyAlignment="1">
      <alignment horizontal="center" vertical="center" wrapText="1"/>
    </xf>
    <xf numFmtId="0" fontId="0" fillId="0" borderId="9" xfId="0" applyFont="1" applyBorder="1" applyAlignment="1">
      <alignment vertical="center" wrapText="1"/>
    </xf>
    <xf numFmtId="0" fontId="1" fillId="0" borderId="1" xfId="0" applyFont="1" applyBorder="1" applyAlignment="1">
      <alignment horizontal="center" vertical="center" wrapText="1"/>
    </xf>
    <xf numFmtId="0" fontId="1" fillId="4" borderId="4"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4" borderId="12" xfId="0" applyFont="1" applyFill="1" applyBorder="1" applyAlignment="1">
      <alignment horizontal="left" vertical="center" wrapText="1"/>
    </xf>
    <xf numFmtId="0" fontId="0" fillId="0" borderId="17" xfId="0" applyBorder="1" applyAlignment="1">
      <alignment vertical="center"/>
    </xf>
    <xf numFmtId="0" fontId="0" fillId="0" borderId="21" xfId="0" applyBorder="1" applyAlignment="1">
      <alignment vertical="center"/>
    </xf>
    <xf numFmtId="0" fontId="0" fillId="0" borderId="0" xfId="0" applyAlignment="1">
      <alignment horizontal="center"/>
    </xf>
    <xf numFmtId="0" fontId="1" fillId="15" borderId="1" xfId="0" applyFont="1" applyFill="1" applyBorder="1" applyAlignment="1">
      <alignment horizontal="center" vertical="center" wrapText="1"/>
    </xf>
    <xf numFmtId="0" fontId="1" fillId="15" borderId="17" xfId="0"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15" fillId="9" borderId="51" xfId="0" applyFont="1" applyFill="1" applyBorder="1" applyAlignment="1">
      <alignment vertical="center" wrapText="1"/>
    </xf>
    <xf numFmtId="0" fontId="15" fillId="9" borderId="51" xfId="0" applyFont="1" applyFill="1" applyBorder="1" applyAlignment="1">
      <alignment horizontal="right" vertical="center" wrapText="1"/>
    </xf>
    <xf numFmtId="0" fontId="22" fillId="0" borderId="0" xfId="0" applyFont="1" applyAlignment="1">
      <alignment vertical="center"/>
    </xf>
    <xf numFmtId="0" fontId="22" fillId="0" borderId="0" xfId="0" applyFont="1" applyFill="1" applyAlignment="1">
      <alignment vertical="center"/>
    </xf>
    <xf numFmtId="0" fontId="9" fillId="2" borderId="0" xfId="0" applyFont="1" applyFill="1" applyAlignment="1">
      <alignment vertical="center" wrapText="1"/>
    </xf>
    <xf numFmtId="0" fontId="0" fillId="0" borderId="1" xfId="0" applyBorder="1" applyAlignment="1">
      <alignment vertical="center" wrapText="1"/>
    </xf>
    <xf numFmtId="0" fontId="0" fillId="0" borderId="1" xfId="0" applyFill="1" applyBorder="1" applyAlignment="1" applyProtection="1">
      <alignment horizontal="center" vertical="center" wrapText="1"/>
      <protection locked="0"/>
    </xf>
    <xf numFmtId="0" fontId="0" fillId="0" borderId="7" xfId="0" applyFill="1" applyBorder="1" applyAlignment="1" applyProtection="1">
      <alignment vertical="center" wrapText="1"/>
      <protection locked="0"/>
    </xf>
    <xf numFmtId="0" fontId="0" fillId="0" borderId="12" xfId="0" applyBorder="1" applyAlignment="1" applyProtection="1">
      <alignment vertical="center" wrapText="1"/>
      <protection locked="0"/>
    </xf>
    <xf numFmtId="0" fontId="0" fillId="0" borderId="48" xfId="0" applyBorder="1" applyAlignment="1">
      <alignment vertical="center"/>
    </xf>
    <xf numFmtId="0" fontId="1" fillId="0" borderId="4" xfId="0" applyFont="1" applyBorder="1" applyAlignment="1">
      <alignment vertical="center" wrapText="1"/>
    </xf>
    <xf numFmtId="0" fontId="0" fillId="0" borderId="4" xfId="0" applyBorder="1" applyAlignment="1">
      <alignment vertical="center" wrapText="1"/>
    </xf>
    <xf numFmtId="0" fontId="0" fillId="0" borderId="4" xfId="0" applyFill="1" applyBorder="1" applyAlignment="1" applyProtection="1">
      <alignment vertical="center" wrapText="1"/>
      <protection locked="0"/>
    </xf>
    <xf numFmtId="0" fontId="0" fillId="0" borderId="4" xfId="0" applyFill="1" applyBorder="1" applyAlignment="1" applyProtection="1">
      <alignment horizontal="center" vertical="center" wrapText="1"/>
      <protection locked="0"/>
    </xf>
    <xf numFmtId="0" fontId="0" fillId="0" borderId="2" xfId="0" applyFill="1" applyBorder="1" applyAlignment="1" applyProtection="1">
      <alignment vertical="center" wrapText="1"/>
      <protection locked="0"/>
    </xf>
    <xf numFmtId="0" fontId="0" fillId="0" borderId="23" xfId="0" applyBorder="1" applyAlignment="1" applyProtection="1">
      <alignment vertical="center" wrapText="1"/>
      <protection locked="0"/>
    </xf>
    <xf numFmtId="0" fontId="0" fillId="0" borderId="47" xfId="0" applyBorder="1" applyAlignment="1">
      <alignment vertical="center"/>
    </xf>
    <xf numFmtId="0" fontId="22" fillId="0" borderId="11" xfId="0" applyFont="1" applyBorder="1" applyAlignment="1">
      <alignment vertical="center" wrapText="1"/>
    </xf>
    <xf numFmtId="1" fontId="22" fillId="0" borderId="11" xfId="0" applyNumberFormat="1" applyFont="1" applyBorder="1" applyAlignment="1">
      <alignment vertical="center" wrapText="1"/>
    </xf>
    <xf numFmtId="1" fontId="22" fillId="0" borderId="0" xfId="0" applyNumberFormat="1" applyFont="1" applyBorder="1" applyAlignment="1">
      <alignment vertical="center" wrapText="1"/>
    </xf>
    <xf numFmtId="1" fontId="0" fillId="0" borderId="0" xfId="0" applyNumberFormat="1" applyFont="1" applyBorder="1" applyAlignment="1">
      <alignment vertical="center" wrapText="1"/>
    </xf>
    <xf numFmtId="0" fontId="0" fillId="0" borderId="0" xfId="0" applyFont="1" applyAlignment="1">
      <alignment vertical="center"/>
    </xf>
    <xf numFmtId="0" fontId="1" fillId="13" borderId="17" xfId="0" applyFont="1" applyFill="1" applyBorder="1" applyAlignment="1">
      <alignment vertical="center"/>
    </xf>
    <xf numFmtId="0" fontId="1" fillId="13" borderId="1" xfId="0" applyFont="1" applyFill="1" applyBorder="1" applyAlignment="1">
      <alignment vertical="center"/>
    </xf>
    <xf numFmtId="0" fontId="1" fillId="13" borderId="12" xfId="0" applyFont="1" applyFill="1" applyBorder="1" applyAlignment="1">
      <alignment vertical="center"/>
    </xf>
    <xf numFmtId="0" fontId="0" fillId="0" borderId="1" xfId="0" applyFont="1" applyBorder="1" applyAlignment="1">
      <alignment vertical="center"/>
    </xf>
    <xf numFmtId="0" fontId="0" fillId="0" borderId="12" xfId="0" applyFont="1" applyBorder="1" applyAlignment="1">
      <alignment vertical="center"/>
    </xf>
    <xf numFmtId="0" fontId="27" fillId="0" borderId="12" xfId="2" applyFont="1" applyBorder="1" applyAlignment="1">
      <alignment vertical="center"/>
    </xf>
    <xf numFmtId="0" fontId="0" fillId="0" borderId="13" xfId="0" applyFont="1" applyBorder="1" applyAlignment="1">
      <alignment vertical="center"/>
    </xf>
    <xf numFmtId="0" fontId="27" fillId="0" borderId="14" xfId="2" applyFont="1" applyBorder="1" applyAlignment="1">
      <alignment vertical="center"/>
    </xf>
    <xf numFmtId="0" fontId="8" fillId="0" borderId="7" xfId="0" applyFont="1" applyFill="1" applyBorder="1" applyAlignment="1">
      <alignment vertical="center" wrapText="1"/>
    </xf>
    <xf numFmtId="0" fontId="8" fillId="0" borderId="43" xfId="0" applyFont="1" applyFill="1" applyBorder="1" applyAlignment="1">
      <alignment horizontal="right" vertical="center" wrapText="1"/>
    </xf>
    <xf numFmtId="0" fontId="1" fillId="0" borderId="43" xfId="0" applyFont="1" applyFill="1" applyBorder="1" applyAlignment="1" applyProtection="1">
      <alignment horizontal="right" vertical="center" wrapText="1"/>
    </xf>
    <xf numFmtId="0" fontId="0" fillId="0" borderId="11" xfId="0" applyBorder="1" applyAlignment="1">
      <alignment vertical="center"/>
    </xf>
    <xf numFmtId="0" fontId="0" fillId="0" borderId="0" xfId="0" applyFont="1" applyBorder="1" applyAlignment="1">
      <alignment vertical="center"/>
    </xf>
    <xf numFmtId="0" fontId="27" fillId="0" borderId="0" xfId="2" applyFont="1" applyBorder="1" applyAlignment="1">
      <alignment vertical="center"/>
    </xf>
    <xf numFmtId="0" fontId="22" fillId="0" borderId="0" xfId="0" applyFont="1" applyBorder="1" applyAlignment="1">
      <alignment horizontal="left" vertical="center" wrapText="1"/>
    </xf>
    <xf numFmtId="0" fontId="0" fillId="0" borderId="0" xfId="0" applyFont="1" applyAlignment="1">
      <alignment horizontal="left" vertical="center"/>
    </xf>
    <xf numFmtId="0" fontId="0" fillId="0" borderId="0" xfId="0" applyFont="1" applyAlignment="1">
      <alignment horizontal="left" vertical="center" wrapText="1"/>
    </xf>
    <xf numFmtId="0" fontId="0" fillId="0" borderId="0" xfId="0" applyAlignment="1">
      <alignment vertical="center" wrapText="1"/>
    </xf>
    <xf numFmtId="0" fontId="0" fillId="0" borderId="17" xfId="0" applyBorder="1" applyAlignment="1">
      <alignment vertical="center" wrapText="1"/>
    </xf>
    <xf numFmtId="0" fontId="0" fillId="0" borderId="0" xfId="0" applyFont="1" applyFill="1" applyAlignment="1">
      <alignment vertical="center"/>
    </xf>
    <xf numFmtId="0" fontId="0" fillId="0" borderId="0" xfId="0" applyFont="1" applyFill="1" applyBorder="1" applyAlignment="1">
      <alignment vertical="center"/>
    </xf>
    <xf numFmtId="0" fontId="0" fillId="0" borderId="0" xfId="0" applyFont="1" applyBorder="1" applyAlignment="1">
      <alignment vertical="center" wrapText="1"/>
    </xf>
    <xf numFmtId="164" fontId="15" fillId="9" borderId="51" xfId="0" applyNumberFormat="1" applyFont="1" applyFill="1" applyBorder="1" applyAlignment="1" applyProtection="1">
      <alignment vertical="center" wrapText="1"/>
      <protection locked="0"/>
    </xf>
    <xf numFmtId="1" fontId="0" fillId="0" borderId="11" xfId="0" applyNumberFormat="1" applyFont="1" applyBorder="1" applyAlignment="1">
      <alignment vertical="center" wrapText="1"/>
    </xf>
    <xf numFmtId="1" fontId="22" fillId="0" borderId="11" xfId="0" applyNumberFormat="1" applyFont="1" applyFill="1" applyBorder="1" applyAlignment="1">
      <alignment vertical="center" wrapText="1"/>
    </xf>
    <xf numFmtId="1" fontId="22" fillId="0" borderId="0" xfId="0" applyNumberFormat="1" applyFont="1" applyFill="1" applyBorder="1" applyAlignment="1">
      <alignment vertical="center" wrapText="1"/>
    </xf>
    <xf numFmtId="0" fontId="0" fillId="2" borderId="1"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0" borderId="9" xfId="0"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166" fontId="15" fillId="9" borderId="50" xfId="0" applyNumberFormat="1" applyFont="1" applyFill="1" applyBorder="1" applyAlignment="1" applyProtection="1">
      <alignment vertical="center" wrapText="1"/>
      <protection locked="0"/>
    </xf>
    <xf numFmtId="9" fontId="0" fillId="0" borderId="1" xfId="1" applyFont="1" applyBorder="1" applyAlignment="1" applyProtection="1">
      <alignment horizontal="left" vertical="center" wrapText="1"/>
      <protection locked="0"/>
    </xf>
    <xf numFmtId="0" fontId="21" fillId="15" borderId="1" xfId="0" applyFont="1" applyFill="1" applyBorder="1" applyAlignment="1" applyProtection="1">
      <alignment horizontal="center" vertical="center" wrapText="1"/>
      <protection locked="0"/>
    </xf>
    <xf numFmtId="0" fontId="0" fillId="0" borderId="17" xfId="0" applyFont="1" applyBorder="1" applyAlignment="1">
      <alignment vertical="center"/>
    </xf>
    <xf numFmtId="0" fontId="0" fillId="2" borderId="1" xfId="0" applyFont="1" applyFill="1" applyBorder="1" applyAlignment="1" applyProtection="1">
      <alignment horizontal="center" vertical="center"/>
      <protection locked="0"/>
    </xf>
    <xf numFmtId="0" fontId="0" fillId="0" borderId="17" xfId="0" applyFont="1" applyBorder="1" applyAlignment="1">
      <alignment vertical="center" wrapText="1"/>
    </xf>
    <xf numFmtId="0" fontId="0" fillId="0" borderId="1" xfId="0" applyFont="1" applyBorder="1" applyAlignment="1" applyProtection="1">
      <alignment horizontal="center" vertical="center"/>
      <protection locked="0"/>
    </xf>
    <xf numFmtId="0" fontId="0" fillId="0" borderId="21" xfId="0" applyFont="1" applyBorder="1" applyAlignment="1">
      <alignment vertical="center"/>
    </xf>
    <xf numFmtId="0" fontId="0" fillId="2" borderId="13"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1" fillId="15" borderId="1" xfId="0" applyFont="1" applyFill="1" applyBorder="1" applyAlignment="1">
      <alignment horizontal="center" vertical="center" wrapText="1"/>
    </xf>
    <xf numFmtId="0" fontId="1" fillId="15" borderId="12" xfId="0" applyFont="1" applyFill="1" applyBorder="1" applyAlignment="1">
      <alignment horizontal="center" vertical="center"/>
    </xf>
    <xf numFmtId="0" fontId="0" fillId="0" borderId="1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165" fontId="0" fillId="0" borderId="1" xfId="0" applyNumberFormat="1"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165" fontId="0" fillId="0" borderId="13" xfId="0" applyNumberFormat="1" applyFont="1" applyBorder="1" applyAlignment="1" applyProtection="1">
      <alignment horizontal="center" vertical="center"/>
      <protection locked="0"/>
    </xf>
    <xf numFmtId="0" fontId="0" fillId="0" borderId="14" xfId="0" applyFont="1" applyBorder="1" applyAlignment="1" applyProtection="1">
      <alignment horizontal="center" vertical="center"/>
      <protection locked="0"/>
    </xf>
    <xf numFmtId="0" fontId="1" fillId="15" borderId="12" xfId="0" applyFont="1" applyFill="1" applyBorder="1" applyAlignment="1">
      <alignment horizontal="center" vertical="center" wrapText="1"/>
    </xf>
    <xf numFmtId="166" fontId="0" fillId="0" borderId="1" xfId="0" applyNumberFormat="1" applyBorder="1" applyAlignment="1" applyProtection="1">
      <alignment horizontal="center" vertical="center"/>
      <protection locked="0"/>
    </xf>
    <xf numFmtId="166" fontId="0" fillId="0" borderId="13" xfId="0" applyNumberFormat="1" applyBorder="1" applyAlignment="1" applyProtection="1">
      <alignment horizontal="center" vertical="center"/>
      <protection locked="0"/>
    </xf>
    <xf numFmtId="0" fontId="1" fillId="6" borderId="12" xfId="0" applyFont="1" applyFill="1" applyBorder="1" applyAlignment="1">
      <alignment horizontal="center" vertical="center" wrapText="1"/>
    </xf>
    <xf numFmtId="0" fontId="0" fillId="0" borderId="1" xfId="0" applyFill="1" applyBorder="1" applyAlignment="1" applyProtection="1">
      <alignment horizontal="center" vertical="center" wrapText="1"/>
    </xf>
    <xf numFmtId="0" fontId="3" fillId="0" borderId="1" xfId="0" applyFont="1" applyFill="1" applyBorder="1" applyAlignment="1" applyProtection="1">
      <alignment horizontal="center" vertical="center" wrapText="1"/>
      <protection locked="0"/>
    </xf>
    <xf numFmtId="0" fontId="7" fillId="0" borderId="1" xfId="0" applyFont="1" applyFill="1" applyBorder="1" applyAlignment="1" applyProtection="1">
      <alignment horizontal="center" vertical="center" wrapText="1"/>
      <protection locked="0"/>
    </xf>
    <xf numFmtId="0" fontId="21" fillId="5" borderId="1" xfId="0" applyFont="1" applyFill="1" applyBorder="1" applyAlignment="1" applyProtection="1">
      <alignment horizontal="center" vertical="center" wrapText="1"/>
      <protection locked="0"/>
    </xf>
    <xf numFmtId="165" fontId="0" fillId="0" borderId="13" xfId="0" applyNumberFormat="1" applyFill="1" applyBorder="1" applyAlignment="1" applyProtection="1">
      <alignment horizontal="center" vertical="center" wrapText="1"/>
      <protection locked="0"/>
    </xf>
    <xf numFmtId="0" fontId="1" fillId="4" borderId="49" xfId="0" applyFont="1" applyFill="1" applyBorder="1" applyAlignment="1">
      <alignment horizontal="center" vertical="center" wrapText="1"/>
    </xf>
    <xf numFmtId="0" fontId="0" fillId="0" borderId="1" xfId="0" applyFont="1" applyFill="1" applyBorder="1" applyAlignment="1" applyProtection="1">
      <alignment horizontal="center" vertical="center" wrapText="1"/>
      <protection locked="0"/>
    </xf>
    <xf numFmtId="0" fontId="0" fillId="0" borderId="13" xfId="0" applyFont="1" applyFill="1" applyBorder="1" applyAlignment="1" applyProtection="1">
      <alignment horizontal="center" vertical="center" wrapText="1"/>
      <protection locked="0"/>
    </xf>
    <xf numFmtId="0" fontId="0" fillId="0" borderId="7" xfId="0" applyFont="1" applyFill="1" applyBorder="1" applyAlignment="1" applyProtection="1">
      <alignment horizontal="center" vertical="center" wrapText="1"/>
      <protection locked="0"/>
    </xf>
    <xf numFmtId="9" fontId="0" fillId="0" borderId="9" xfId="1" applyFont="1" applyBorder="1" applyAlignment="1" applyProtection="1">
      <alignment horizontal="center" vertical="center"/>
      <protection locked="0"/>
    </xf>
    <xf numFmtId="0" fontId="21" fillId="13" borderId="40" xfId="0" applyFont="1" applyFill="1" applyBorder="1" applyAlignment="1">
      <alignment horizontal="left" vertical="center"/>
    </xf>
    <xf numFmtId="0" fontId="21" fillId="13" borderId="9" xfId="0" applyFont="1" applyFill="1" applyBorder="1" applyAlignment="1">
      <alignment horizontal="left" vertical="center"/>
    </xf>
    <xf numFmtId="0" fontId="21" fillId="13" borderId="22" xfId="0" applyFont="1" applyFill="1" applyBorder="1" applyAlignment="1">
      <alignment horizontal="left" vertical="center"/>
    </xf>
    <xf numFmtId="0" fontId="2" fillId="6" borderId="1" xfId="0" applyFont="1" applyFill="1" applyBorder="1" applyAlignment="1">
      <alignment horizontal="center" vertical="center" wrapText="1"/>
    </xf>
    <xf numFmtId="0" fontId="0" fillId="0" borderId="17" xfId="0" applyFont="1" applyFill="1" applyBorder="1" applyAlignment="1">
      <alignment horizontal="right" vertical="center" wrapText="1"/>
    </xf>
    <xf numFmtId="0" fontId="0" fillId="0" borderId="1" xfId="0" applyFont="1" applyFill="1" applyBorder="1" applyAlignment="1">
      <alignment horizontal="right" vertical="center" wrapText="1"/>
    </xf>
    <xf numFmtId="0" fontId="0" fillId="0" borderId="1" xfId="0" applyFont="1" applyBorder="1" applyAlignment="1">
      <alignment horizontal="right" vertical="center" wrapText="1"/>
    </xf>
    <xf numFmtId="0" fontId="20" fillId="12" borderId="1" xfId="2" applyFill="1" applyBorder="1" applyAlignment="1">
      <alignment horizontal="right" vertical="center" wrapText="1"/>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2" fillId="3" borderId="8"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2" fillId="3" borderId="16" xfId="0" applyFont="1" applyFill="1" applyBorder="1" applyAlignment="1">
      <alignment horizontal="center" vertical="center" wrapText="1"/>
    </xf>
    <xf numFmtId="0" fontId="0" fillId="0" borderId="9" xfId="0" applyFont="1" applyBorder="1" applyAlignment="1">
      <alignment horizontal="left" vertical="center" wrapText="1"/>
    </xf>
    <xf numFmtId="0" fontId="0" fillId="0" borderId="13" xfId="0" applyFont="1" applyBorder="1" applyAlignment="1">
      <alignment horizontal="left" vertical="center" wrapText="1"/>
    </xf>
    <xf numFmtId="0" fontId="0" fillId="0" borderId="13" xfId="0" applyFont="1" applyBorder="1" applyAlignment="1" applyProtection="1">
      <alignment horizontal="left" vertical="center" wrapText="1"/>
      <protection locked="0"/>
    </xf>
    <xf numFmtId="0" fontId="0" fillId="0" borderId="14" xfId="0" applyFont="1" applyBorder="1" applyAlignment="1" applyProtection="1">
      <alignment horizontal="left" vertical="center" wrapText="1"/>
      <protection locked="0"/>
    </xf>
    <xf numFmtId="0" fontId="1" fillId="0" borderId="40" xfId="0" applyFont="1" applyFill="1" applyBorder="1" applyAlignment="1">
      <alignment horizontal="center" vertical="center" textRotation="90" wrapText="1"/>
    </xf>
    <xf numFmtId="0" fontId="1" fillId="0" borderId="21" xfId="0" applyFont="1" applyFill="1" applyBorder="1" applyAlignment="1">
      <alignment horizontal="center" vertical="center" textRotation="90" wrapText="1"/>
    </xf>
    <xf numFmtId="0" fontId="0" fillId="0" borderId="64" xfId="0" applyFont="1" applyFill="1" applyBorder="1" applyAlignment="1" applyProtection="1">
      <alignment horizontal="left" vertical="center" wrapText="1"/>
      <protection locked="0"/>
    </xf>
    <xf numFmtId="0" fontId="0" fillId="0" borderId="10" xfId="0" applyFont="1" applyFill="1" applyBorder="1" applyAlignment="1" applyProtection="1">
      <alignment horizontal="left" vertical="center" wrapText="1"/>
      <protection locked="0"/>
    </xf>
    <xf numFmtId="0" fontId="1" fillId="0" borderId="1" xfId="0" applyFont="1" applyBorder="1" applyAlignment="1">
      <alignment horizontal="right" vertical="center" wrapText="1"/>
    </xf>
    <xf numFmtId="0" fontId="0" fillId="0" borderId="1" xfId="0" applyBorder="1" applyAlignment="1">
      <alignment horizontal="right" vertical="center" wrapText="1"/>
    </xf>
    <xf numFmtId="0" fontId="2" fillId="3" borderId="24" xfId="0" applyFont="1" applyFill="1" applyBorder="1" applyAlignment="1">
      <alignment horizontal="center" vertical="center" wrapText="1"/>
    </xf>
    <xf numFmtId="0" fontId="2" fillId="3" borderId="25"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1" fillId="0" borderId="11" xfId="0" applyFont="1" applyBorder="1" applyAlignment="1">
      <alignment horizontal="left" vertical="center" wrapText="1"/>
    </xf>
    <xf numFmtId="0" fontId="1" fillId="0" borderId="3" xfId="0" applyFont="1" applyBorder="1" applyAlignment="1">
      <alignment horizontal="left" vertical="center" wrapText="1"/>
    </xf>
    <xf numFmtId="0" fontId="0" fillId="0" borderId="2" xfId="0" applyBorder="1" applyAlignment="1" applyProtection="1">
      <alignment horizontal="left" vertical="center" wrapText="1"/>
      <protection locked="0"/>
    </xf>
    <xf numFmtId="0" fontId="0" fillId="0" borderId="59" xfId="0" applyBorder="1" applyAlignment="1" applyProtection="1">
      <alignment horizontal="left" vertical="center" wrapText="1"/>
      <protection locked="0"/>
    </xf>
    <xf numFmtId="0" fontId="0" fillId="0" borderId="60" xfId="0" applyBorder="1" applyAlignment="1" applyProtection="1">
      <alignment horizontal="left" vertical="center" wrapText="1"/>
      <protection locked="0"/>
    </xf>
    <xf numFmtId="0" fontId="0" fillId="0" borderId="61" xfId="0" applyBorder="1" applyAlignment="1" applyProtection="1">
      <alignment horizontal="left" vertical="center" wrapText="1"/>
      <protection locked="0"/>
    </xf>
    <xf numFmtId="0" fontId="0" fillId="0" borderId="62" xfId="0" applyBorder="1" applyAlignment="1" applyProtection="1">
      <alignment horizontal="left" vertical="center" wrapText="1"/>
      <protection locked="0"/>
    </xf>
    <xf numFmtId="0" fontId="0" fillId="0" borderId="63" xfId="0" applyBorder="1" applyAlignment="1" applyProtection="1">
      <alignment horizontal="left" vertical="center" wrapText="1"/>
      <protection locked="0"/>
    </xf>
    <xf numFmtId="0" fontId="0" fillId="0" borderId="3" xfId="0" applyFont="1" applyBorder="1" applyAlignment="1">
      <alignment horizontal="left" vertical="center" wrapText="1"/>
    </xf>
    <xf numFmtId="0" fontId="1" fillId="0" borderId="2" xfId="0" applyFont="1" applyBorder="1" applyAlignment="1">
      <alignment horizontal="right" vertical="center" wrapText="1"/>
    </xf>
    <xf numFmtId="0" fontId="1" fillId="0" borderId="65" xfId="0" applyFont="1" applyBorder="1" applyAlignment="1">
      <alignment horizontal="right" vertical="center" wrapText="1"/>
    </xf>
    <xf numFmtId="0" fontId="1" fillId="0" borderId="61" xfId="0" applyFont="1" applyBorder="1" applyAlignment="1">
      <alignment horizontal="right" vertical="center" wrapText="1"/>
    </xf>
    <xf numFmtId="0" fontId="1" fillId="0" borderId="66" xfId="0" applyFont="1" applyBorder="1" applyAlignment="1">
      <alignment horizontal="right" vertical="center" wrapText="1"/>
    </xf>
    <xf numFmtId="0" fontId="0" fillId="12" borderId="0" xfId="0" applyFill="1" applyAlignment="1">
      <alignment horizontal="left" vertical="center" wrapText="1"/>
    </xf>
    <xf numFmtId="0" fontId="0" fillId="0" borderId="1" xfId="0" applyBorder="1" applyAlignment="1" applyProtection="1">
      <alignment horizontal="left" vertical="center" wrapText="1"/>
      <protection locked="0"/>
    </xf>
    <xf numFmtId="0" fontId="0" fillId="0" borderId="1" xfId="0" applyBorder="1" applyAlignment="1">
      <alignment horizontal="left" vertical="center" wrapText="1"/>
    </xf>
    <xf numFmtId="0" fontId="0" fillId="0" borderId="12" xfId="0" applyBorder="1" applyAlignment="1">
      <alignment horizontal="left" vertical="center" wrapText="1"/>
    </xf>
    <xf numFmtId="0" fontId="0" fillId="0" borderId="4" xfId="0" applyBorder="1" applyAlignment="1" applyProtection="1">
      <alignment horizontal="left" vertical="center" wrapText="1"/>
      <protection locked="0"/>
    </xf>
    <xf numFmtId="0" fontId="0" fillId="0" borderId="23" xfId="0" applyBorder="1" applyAlignment="1">
      <alignment horizontal="left" vertical="center" wrapText="1"/>
    </xf>
    <xf numFmtId="0" fontId="3" fillId="0" borderId="5" xfId="0" quotePrefix="1" applyFont="1" applyBorder="1" applyAlignment="1">
      <alignment horizontal="left" vertical="center" wrapText="1"/>
    </xf>
    <xf numFmtId="0" fontId="3" fillId="0" borderId="6" xfId="0" applyFont="1" applyBorder="1" applyAlignment="1">
      <alignment horizontal="left" vertical="center" wrapText="1"/>
    </xf>
    <xf numFmtId="0" fontId="1" fillId="0" borderId="4" xfId="0" applyFont="1" applyBorder="1" applyAlignment="1">
      <alignment horizontal="left" vertical="center" wrapText="1"/>
    </xf>
    <xf numFmtId="0" fontId="1" fillId="0" borderId="6" xfId="0" applyFont="1" applyBorder="1" applyAlignment="1">
      <alignment horizontal="left" vertical="center" wrapText="1"/>
    </xf>
    <xf numFmtId="0" fontId="1" fillId="0" borderId="1" xfId="0" applyFont="1" applyBorder="1" applyAlignment="1">
      <alignment horizontal="left" vertical="center" wrapText="1"/>
    </xf>
    <xf numFmtId="0" fontId="0" fillId="0" borderId="3" xfId="0" applyBorder="1" applyAlignment="1">
      <alignment horizontal="left" vertical="center" wrapText="1"/>
    </xf>
    <xf numFmtId="0" fontId="6" fillId="5" borderId="7" xfId="0" applyFont="1" applyFill="1" applyBorder="1" applyAlignment="1" applyProtection="1">
      <alignment horizontal="left" vertical="center" wrapText="1"/>
      <protection locked="0"/>
    </xf>
    <xf numFmtId="0" fontId="6" fillId="5" borderId="41" xfId="0" applyFont="1" applyFill="1" applyBorder="1" applyAlignment="1" applyProtection="1">
      <alignment horizontal="left" vertical="center" wrapText="1"/>
      <protection locked="0"/>
    </xf>
    <xf numFmtId="0" fontId="6" fillId="5" borderId="42" xfId="0" applyFont="1" applyFill="1" applyBorder="1" applyAlignment="1" applyProtection="1">
      <alignment horizontal="left" vertical="center" wrapText="1"/>
      <protection locked="0"/>
    </xf>
    <xf numFmtId="0" fontId="5" fillId="5" borderId="7" xfId="0" applyFont="1" applyFill="1" applyBorder="1" applyAlignment="1">
      <alignment horizontal="left" vertical="center" wrapText="1"/>
    </xf>
    <xf numFmtId="0" fontId="5" fillId="5" borderId="43" xfId="0" applyFont="1" applyFill="1" applyBorder="1" applyAlignment="1">
      <alignment horizontal="left" vertical="center" wrapText="1"/>
    </xf>
    <xf numFmtId="0" fontId="23" fillId="0" borderId="7" xfId="0" applyFont="1" applyBorder="1" applyAlignment="1">
      <alignment horizontal="left" vertical="center" wrapText="1"/>
    </xf>
    <xf numFmtId="0" fontId="23" fillId="0" borderId="43" xfId="0" applyFont="1" applyBorder="1" applyAlignment="1">
      <alignment horizontal="left" vertical="center" wrapText="1"/>
    </xf>
    <xf numFmtId="0" fontId="21" fillId="5" borderId="7" xfId="0" applyFont="1" applyFill="1" applyBorder="1" applyAlignment="1">
      <alignment horizontal="center" vertical="center" wrapText="1"/>
    </xf>
    <xf numFmtId="0" fontId="21" fillId="5" borderId="43" xfId="0" applyFont="1" applyFill="1" applyBorder="1" applyAlignment="1">
      <alignment horizontal="center" vertical="center" wrapText="1"/>
    </xf>
    <xf numFmtId="0" fontId="0" fillId="0" borderId="44" xfId="0" applyFont="1" applyBorder="1" applyAlignment="1">
      <alignment horizontal="left" vertical="center" wrapText="1"/>
    </xf>
    <xf numFmtId="0" fontId="0" fillId="0" borderId="45" xfId="0" applyFont="1" applyBorder="1" applyAlignment="1">
      <alignment horizontal="left" vertical="center" wrapText="1"/>
    </xf>
    <xf numFmtId="0" fontId="1" fillId="0" borderId="18" xfId="0" applyFont="1" applyBorder="1" applyAlignment="1">
      <alignment horizontal="center" vertical="center" textRotation="90" wrapText="1"/>
    </xf>
    <xf numFmtId="0" fontId="1" fillId="0" borderId="19" xfId="0" applyFont="1" applyBorder="1" applyAlignment="1">
      <alignment horizontal="center" vertical="center" textRotation="90" wrapText="1"/>
    </xf>
    <xf numFmtId="0" fontId="1" fillId="0" borderId="20" xfId="0" applyFont="1" applyBorder="1" applyAlignment="1">
      <alignment horizontal="center" vertical="center" textRotation="90" wrapText="1"/>
    </xf>
    <xf numFmtId="0" fontId="0" fillId="0" borderId="7" xfId="0" applyFont="1" applyFill="1" applyBorder="1" applyAlignment="1" applyProtection="1">
      <alignment horizontal="left" vertical="center" wrapText="1"/>
      <protection locked="0"/>
    </xf>
    <xf numFmtId="0" fontId="0" fillId="0" borderId="41" xfId="0" applyFont="1" applyFill="1" applyBorder="1" applyAlignment="1" applyProtection="1">
      <alignment horizontal="left" vertical="center" wrapText="1"/>
      <protection locked="0"/>
    </xf>
    <xf numFmtId="0" fontId="0" fillId="0" borderId="42" xfId="0" applyFont="1" applyFill="1" applyBorder="1" applyAlignment="1" applyProtection="1">
      <alignment horizontal="left" vertical="center" wrapText="1"/>
      <protection locked="0"/>
    </xf>
    <xf numFmtId="0" fontId="35" fillId="0" borderId="9" xfId="0" applyFont="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0" fillId="0" borderId="22" xfId="0" applyBorder="1" applyAlignment="1" applyProtection="1">
      <alignment horizontal="left" vertical="center" wrapText="1"/>
      <protection locked="0"/>
    </xf>
    <xf numFmtId="0" fontId="1" fillId="0" borderId="9" xfId="0" applyFont="1" applyBorder="1" applyAlignment="1">
      <alignment horizontal="right" vertical="center" wrapText="1"/>
    </xf>
    <xf numFmtId="0" fontId="0" fillId="0" borderId="9" xfId="0" applyBorder="1" applyAlignment="1">
      <alignment horizontal="right" vertical="center" wrapText="1"/>
    </xf>
    <xf numFmtId="0" fontId="1" fillId="0" borderId="1" xfId="0" applyFont="1" applyBorder="1" applyAlignment="1">
      <alignment horizontal="center" vertical="center" wrapText="1"/>
    </xf>
    <xf numFmtId="0" fontId="0" fillId="0" borderId="1" xfId="0" applyFill="1" applyBorder="1" applyAlignment="1" applyProtection="1">
      <alignment horizontal="left" vertical="center" wrapText="1"/>
      <protection locked="0"/>
    </xf>
    <xf numFmtId="0" fontId="0" fillId="0" borderId="12" xfId="0"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0" fillId="0" borderId="12" xfId="0" applyFont="1" applyBorder="1" applyAlignment="1">
      <alignment horizontal="left" vertical="center" wrapText="1"/>
    </xf>
    <xf numFmtId="0" fontId="0" fillId="0" borderId="4" xfId="0" applyFont="1" applyFill="1" applyBorder="1" applyAlignment="1" applyProtection="1">
      <alignment horizontal="left" vertical="center" wrapText="1"/>
      <protection locked="0"/>
    </xf>
    <xf numFmtId="0" fontId="0" fillId="0" borderId="23" xfId="0" applyFont="1" applyBorder="1" applyAlignment="1">
      <alignment horizontal="left" vertical="center" wrapText="1"/>
    </xf>
    <xf numFmtId="0" fontId="8" fillId="0" borderId="1" xfId="0" applyFont="1" applyFill="1" applyBorder="1" applyAlignment="1">
      <alignment horizontal="left" vertical="center" wrapText="1"/>
    </xf>
    <xf numFmtId="0" fontId="1" fillId="0" borderId="12" xfId="0" applyFont="1" applyBorder="1" applyAlignment="1">
      <alignment horizontal="left" vertical="center" wrapText="1"/>
    </xf>
    <xf numFmtId="0" fontId="0" fillId="0" borderId="1" xfId="0" applyFill="1" applyBorder="1" applyAlignment="1" applyProtection="1">
      <alignment horizontal="left" vertical="center" wrapText="1"/>
    </xf>
    <xf numFmtId="0" fontId="0" fillId="5" borderId="15" xfId="0" applyFill="1" applyBorder="1" applyAlignment="1">
      <alignment horizontal="left" vertical="center" wrapText="1"/>
    </xf>
    <xf numFmtId="0" fontId="25" fillId="2" borderId="11" xfId="0" applyFont="1" applyFill="1" applyBorder="1" applyAlignment="1">
      <alignment horizontal="center" vertical="center" wrapText="1"/>
    </xf>
    <xf numFmtId="0" fontId="0" fillId="0" borderId="11" xfId="0" applyBorder="1" applyAlignment="1">
      <alignment horizontal="left" vertical="center" wrapText="1"/>
    </xf>
    <xf numFmtId="0" fontId="0" fillId="0" borderId="0" xfId="0" applyBorder="1" applyAlignment="1">
      <alignment horizontal="left" vertical="center" wrapText="1"/>
    </xf>
    <xf numFmtId="0" fontId="21" fillId="5" borderId="7" xfId="0" applyFont="1" applyFill="1" applyBorder="1" applyAlignment="1" applyProtection="1">
      <alignment horizontal="center" vertical="center" wrapText="1"/>
      <protection locked="0"/>
    </xf>
    <xf numFmtId="0" fontId="21" fillId="5" borderId="42" xfId="0" applyFont="1" applyFill="1" applyBorder="1" applyAlignment="1" applyProtection="1">
      <alignment horizontal="center" vertical="center" wrapText="1"/>
      <protection locked="0"/>
    </xf>
    <xf numFmtId="0" fontId="0" fillId="0" borderId="7" xfId="0" applyFill="1" applyBorder="1" applyAlignment="1" applyProtection="1">
      <alignment horizontal="center" vertical="center" wrapText="1"/>
    </xf>
    <xf numFmtId="0" fontId="0" fillId="0" borderId="42" xfId="0" applyFill="1" applyBorder="1" applyAlignment="1" applyProtection="1">
      <alignment horizontal="center" vertical="center" wrapText="1"/>
    </xf>
    <xf numFmtId="0" fontId="23" fillId="0" borderId="44" xfId="0" applyFont="1" applyBorder="1" applyAlignment="1">
      <alignment horizontal="left" vertical="center" wrapText="1"/>
    </xf>
    <xf numFmtId="0" fontId="23" fillId="0" borderId="45" xfId="0" applyFont="1" applyBorder="1" applyAlignment="1">
      <alignment horizontal="left" vertical="center" wrapText="1"/>
    </xf>
    <xf numFmtId="0" fontId="0" fillId="0" borderId="7" xfId="0" applyFont="1" applyBorder="1" applyAlignment="1">
      <alignment horizontal="left" vertical="center" wrapText="1"/>
    </xf>
    <xf numFmtId="0" fontId="0" fillId="0" borderId="43" xfId="0" applyFont="1" applyBorder="1" applyAlignment="1">
      <alignment horizontal="left" vertical="center" wrapText="1"/>
    </xf>
    <xf numFmtId="0" fontId="1" fillId="5" borderId="17" xfId="0" applyFont="1" applyFill="1" applyBorder="1" applyAlignment="1">
      <alignment horizontal="center" vertical="center" textRotation="90" wrapText="1"/>
    </xf>
    <xf numFmtId="0" fontId="1" fillId="5" borderId="18" xfId="0" applyFont="1" applyFill="1" applyBorder="1" applyAlignment="1">
      <alignment horizontal="center" vertical="center" textRotation="90" wrapText="1"/>
    </xf>
    <xf numFmtId="0" fontId="1" fillId="5" borderId="21" xfId="0" applyFont="1" applyFill="1" applyBorder="1" applyAlignment="1">
      <alignment horizontal="center" vertical="center" textRotation="90" wrapText="1"/>
    </xf>
    <xf numFmtId="0" fontId="0" fillId="5" borderId="0" xfId="0" applyFill="1" applyBorder="1" applyAlignment="1">
      <alignment horizontal="left" vertical="center" wrapText="1"/>
    </xf>
    <xf numFmtId="0" fontId="15" fillId="9" borderId="52" xfId="0" applyFont="1" applyFill="1" applyBorder="1" applyAlignment="1">
      <alignment horizontal="left" vertical="center" wrapText="1"/>
    </xf>
    <xf numFmtId="0" fontId="15" fillId="9" borderId="51" xfId="0" applyFont="1" applyFill="1" applyBorder="1" applyAlignment="1">
      <alignment horizontal="left" vertical="center" wrapText="1"/>
    </xf>
    <xf numFmtId="0" fontId="24" fillId="14" borderId="52" xfId="0" applyFont="1" applyFill="1" applyBorder="1" applyAlignment="1">
      <alignment horizontal="center" vertical="center" wrapText="1"/>
    </xf>
    <xf numFmtId="0" fontId="24" fillId="14" borderId="51" xfId="0" applyFont="1" applyFill="1" applyBorder="1" applyAlignment="1">
      <alignment horizontal="center" vertical="center" wrapText="1"/>
    </xf>
    <xf numFmtId="0" fontId="24" fillId="14" borderId="50" xfId="0" applyFont="1" applyFill="1" applyBorder="1" applyAlignment="1">
      <alignment horizontal="center" vertical="center" wrapText="1"/>
    </xf>
    <xf numFmtId="0" fontId="0" fillId="0" borderId="44" xfId="0" applyFill="1" applyBorder="1" applyAlignment="1" applyProtection="1">
      <alignment horizontal="center" vertical="center" wrapText="1"/>
    </xf>
    <xf numFmtId="0" fontId="0" fillId="0" borderId="46" xfId="0" applyFill="1" applyBorder="1" applyAlignment="1" applyProtection="1">
      <alignment horizontal="center" vertical="center" wrapText="1"/>
    </xf>
    <xf numFmtId="0" fontId="1" fillId="4" borderId="17"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0" borderId="17" xfId="0" applyFont="1" applyBorder="1" applyAlignment="1">
      <alignment horizontal="center" vertical="center" textRotation="90" wrapText="1"/>
    </xf>
    <xf numFmtId="0" fontId="0" fillId="0" borderId="21" xfId="0" applyFont="1" applyFill="1" applyBorder="1" applyAlignment="1">
      <alignment horizontal="right" vertical="center" wrapText="1"/>
    </xf>
    <xf numFmtId="0" fontId="0" fillId="0" borderId="13" xfId="0" applyFont="1" applyBorder="1" applyAlignment="1">
      <alignment horizontal="right" vertical="center" wrapText="1"/>
    </xf>
    <xf numFmtId="0" fontId="3" fillId="0" borderId="5" xfId="0" applyFont="1" applyBorder="1" applyAlignment="1">
      <alignment horizontal="left" vertical="center" wrapText="1"/>
    </xf>
    <xf numFmtId="0" fontId="1" fillId="15" borderId="1" xfId="0" applyFont="1" applyFill="1" applyBorder="1" applyAlignment="1">
      <alignment horizontal="center" vertical="center" wrapText="1"/>
    </xf>
    <xf numFmtId="0" fontId="1" fillId="15" borderId="1" xfId="0" applyFont="1" applyFill="1" applyBorder="1" applyAlignment="1">
      <alignment horizontal="center" vertical="center"/>
    </xf>
    <xf numFmtId="0" fontId="0" fillId="0" borderId="1" xfId="0" applyFont="1" applyBorder="1" applyAlignment="1" applyProtection="1">
      <alignment vertical="center"/>
      <protection locked="0"/>
    </xf>
    <xf numFmtId="0" fontId="0" fillId="0" borderId="17" xfId="0" applyBorder="1" applyAlignment="1">
      <alignment horizontal="left" vertical="center"/>
    </xf>
    <xf numFmtId="0" fontId="0" fillId="0" borderId="1" xfId="0" applyBorder="1" applyAlignment="1">
      <alignment horizontal="left" vertical="center"/>
    </xf>
    <xf numFmtId="0" fontId="0" fillId="0" borderId="21" xfId="0" applyBorder="1" applyAlignment="1">
      <alignment horizontal="left" vertical="center"/>
    </xf>
    <xf numFmtId="0" fontId="0" fillId="0" borderId="13" xfId="0" applyBorder="1" applyAlignment="1">
      <alignment horizontal="left" vertical="center"/>
    </xf>
    <xf numFmtId="0" fontId="0" fillId="0" borderId="13" xfId="0" applyFont="1" applyBorder="1" applyAlignment="1" applyProtection="1">
      <alignment vertical="center"/>
      <protection locked="0"/>
    </xf>
    <xf numFmtId="0" fontId="0" fillId="0" borderId="13" xfId="0" applyBorder="1" applyAlignment="1" applyProtection="1">
      <alignment horizontal="left" vertical="center"/>
      <protection locked="0"/>
    </xf>
    <xf numFmtId="0" fontId="2" fillId="3" borderId="40"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1" fillId="15" borderId="17" xfId="0" applyFont="1" applyFill="1" applyBorder="1" applyAlignment="1">
      <alignment horizontal="center" vertical="center" wrapText="1"/>
    </xf>
    <xf numFmtId="0" fontId="21" fillId="15"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 xfId="0" applyBorder="1" applyAlignment="1" applyProtection="1">
      <alignment horizontal="left" vertical="center"/>
      <protection locked="0"/>
    </xf>
    <xf numFmtId="0" fontId="21" fillId="15" borderId="1" xfId="0" applyFont="1" applyFill="1" applyBorder="1" applyAlignment="1" applyProtection="1">
      <alignment horizontal="center" vertical="center" wrapText="1"/>
      <protection locked="0"/>
    </xf>
    <xf numFmtId="0" fontId="21" fillId="15" borderId="12" xfId="0" applyFont="1" applyFill="1" applyBorder="1" applyAlignment="1" applyProtection="1">
      <alignment horizontal="center" vertical="center" wrapText="1"/>
      <protection locked="0"/>
    </xf>
    <xf numFmtId="0" fontId="0" fillId="0" borderId="21" xfId="0" applyBorder="1" applyAlignment="1">
      <alignment horizontal="center" vertical="center"/>
    </xf>
    <xf numFmtId="0" fontId="2" fillId="3" borderId="17"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31" fillId="9" borderId="40" xfId="0" applyFont="1" applyFill="1" applyBorder="1" applyAlignment="1">
      <alignment horizontal="center" vertical="center" wrapText="1"/>
    </xf>
    <xf numFmtId="0" fontId="31" fillId="9" borderId="9" xfId="0" applyFont="1" applyFill="1" applyBorder="1" applyAlignment="1">
      <alignment horizontal="center" vertical="center" wrapText="1"/>
    </xf>
    <xf numFmtId="0" fontId="31" fillId="9" borderId="22" xfId="0" applyFont="1" applyFill="1" applyBorder="1" applyAlignment="1">
      <alignment horizontal="center" vertical="center" wrapText="1"/>
    </xf>
    <xf numFmtId="0" fontId="1" fillId="15" borderId="7" xfId="0" applyFont="1" applyFill="1" applyBorder="1" applyAlignment="1">
      <alignment horizontal="center" vertical="center"/>
    </xf>
    <xf numFmtId="0" fontId="1" fillId="15" borderId="41" xfId="0" applyFont="1" applyFill="1" applyBorder="1" applyAlignment="1">
      <alignment horizontal="center" vertical="center"/>
    </xf>
    <xf numFmtId="0" fontId="1" fillId="15" borderId="43" xfId="0" applyFont="1" applyFill="1" applyBorder="1" applyAlignment="1">
      <alignment horizontal="center" vertical="center"/>
    </xf>
    <xf numFmtId="0" fontId="0" fillId="0" borderId="7" xfId="0" applyBorder="1" applyAlignment="1" applyProtection="1">
      <alignment horizontal="left" vertical="center"/>
      <protection locked="0"/>
    </xf>
    <xf numFmtId="0" fontId="0" fillId="0" borderId="41" xfId="0" applyBorder="1" applyAlignment="1" applyProtection="1">
      <alignment horizontal="left" vertical="center"/>
      <protection locked="0"/>
    </xf>
    <xf numFmtId="0" fontId="0" fillId="0" borderId="43" xfId="0" applyBorder="1" applyAlignment="1" applyProtection="1">
      <alignment horizontal="left" vertical="center"/>
      <protection locked="0"/>
    </xf>
    <xf numFmtId="0" fontId="0" fillId="0" borderId="44" xfId="0" applyBorder="1" applyAlignment="1" applyProtection="1">
      <alignment horizontal="left" vertical="center"/>
      <protection locked="0"/>
    </xf>
    <xf numFmtId="0" fontId="0" fillId="0" borderId="67" xfId="0" applyBorder="1" applyAlignment="1" applyProtection="1">
      <alignment horizontal="left" vertical="center"/>
      <protection locked="0"/>
    </xf>
    <xf numFmtId="0" fontId="0" fillId="0" borderId="45" xfId="0" applyBorder="1" applyAlignment="1" applyProtection="1">
      <alignment horizontal="left" vertical="center"/>
      <protection locked="0"/>
    </xf>
    <xf numFmtId="0" fontId="11" fillId="8" borderId="56" xfId="0" applyFont="1" applyFill="1" applyBorder="1" applyAlignment="1">
      <alignment horizontal="left" vertical="center" wrapText="1"/>
    </xf>
    <xf numFmtId="0" fontId="11" fillId="8" borderId="36" xfId="0" applyFont="1" applyFill="1" applyBorder="1" applyAlignment="1">
      <alignment horizontal="left" vertical="center" wrapText="1"/>
    </xf>
    <xf numFmtId="0" fontId="13" fillId="8" borderId="55" xfId="0" applyFont="1" applyFill="1" applyBorder="1" applyAlignment="1">
      <alignment horizontal="left" vertical="center" wrapText="1" indent="1"/>
    </xf>
    <xf numFmtId="0" fontId="13" fillId="8" borderId="37" xfId="0" applyFont="1" applyFill="1" applyBorder="1" applyAlignment="1">
      <alignment horizontal="left" vertical="center" wrapText="1" indent="1"/>
    </xf>
    <xf numFmtId="0" fontId="0" fillId="11" borderId="53" xfId="0" applyFill="1" applyBorder="1" applyAlignment="1">
      <alignment horizontal="center" vertical="center"/>
    </xf>
    <xf numFmtId="0" fontId="0" fillId="11" borderId="54" xfId="0" applyFill="1" applyBorder="1" applyAlignment="1">
      <alignment horizontal="center" vertical="center"/>
    </xf>
    <xf numFmtId="0" fontId="0" fillId="0" borderId="38" xfId="0" applyBorder="1" applyAlignment="1">
      <alignment horizontal="center" vertical="center"/>
    </xf>
    <xf numFmtId="0" fontId="0" fillId="11" borderId="38" xfId="0" applyFill="1" applyBorder="1" applyAlignment="1">
      <alignment horizontal="center" vertical="center"/>
    </xf>
    <xf numFmtId="0" fontId="11" fillId="0" borderId="35" xfId="0" applyFont="1" applyBorder="1" applyAlignment="1">
      <alignment vertical="center" wrapText="1"/>
    </xf>
    <xf numFmtId="0" fontId="11" fillId="0" borderId="36" xfId="0" applyFont="1" applyBorder="1" applyAlignment="1">
      <alignment vertical="center" wrapText="1"/>
    </xf>
    <xf numFmtId="0" fontId="11" fillId="0" borderId="34" xfId="0" applyFont="1" applyBorder="1" applyAlignment="1">
      <alignment vertical="center" wrapText="1"/>
    </xf>
    <xf numFmtId="0" fontId="13" fillId="0" borderId="39" xfId="0" applyFont="1" applyBorder="1" applyAlignment="1">
      <alignment horizontal="left" vertical="center" wrapText="1" indent="1"/>
    </xf>
    <xf numFmtId="0" fontId="13" fillId="0" borderId="0" xfId="0" applyFont="1" applyBorder="1" applyAlignment="1">
      <alignment horizontal="left" vertical="center" wrapText="1" indent="1"/>
    </xf>
    <xf numFmtId="0" fontId="13" fillId="0" borderId="37" xfId="0" applyFont="1" applyBorder="1" applyAlignment="1">
      <alignment horizontal="left" vertical="center" wrapText="1" indent="1"/>
    </xf>
    <xf numFmtId="0" fontId="11" fillId="8" borderId="35" xfId="0" applyFont="1" applyFill="1" applyBorder="1" applyAlignment="1">
      <alignment vertical="center" wrapText="1"/>
    </xf>
    <xf numFmtId="0" fontId="11" fillId="8" borderId="34" xfId="0" applyFont="1" applyFill="1" applyBorder="1" applyAlignment="1">
      <alignment vertical="center" wrapText="1"/>
    </xf>
    <xf numFmtId="0" fontId="11" fillId="8" borderId="36" xfId="0" applyFont="1" applyFill="1" applyBorder="1" applyAlignment="1">
      <alignment vertical="center" wrapText="1"/>
    </xf>
    <xf numFmtId="0" fontId="11" fillId="8" borderId="35" xfId="0" applyFont="1" applyFill="1" applyBorder="1" applyAlignment="1">
      <alignment horizontal="left" vertical="center" wrapText="1"/>
    </xf>
    <xf numFmtId="0" fontId="13" fillId="8" borderId="39" xfId="0" applyFont="1" applyFill="1" applyBorder="1" applyAlignment="1">
      <alignment horizontal="left" vertical="center" wrapText="1" indent="1"/>
    </xf>
    <xf numFmtId="0" fontId="13" fillId="8" borderId="57" xfId="0" applyFont="1" applyFill="1" applyBorder="1" applyAlignment="1">
      <alignment horizontal="left" vertical="center" wrapText="1"/>
    </xf>
    <xf numFmtId="0" fontId="13" fillId="8" borderId="29" xfId="0" applyFont="1" applyFill="1" applyBorder="1" applyAlignment="1">
      <alignment horizontal="left" vertical="center" wrapText="1"/>
    </xf>
    <xf numFmtId="0" fontId="13" fillId="8" borderId="33" xfId="0" applyFont="1" applyFill="1" applyBorder="1" applyAlignment="1">
      <alignment horizontal="left" vertical="center" wrapText="1"/>
    </xf>
    <xf numFmtId="0" fontId="0" fillId="0" borderId="29" xfId="0" applyBorder="1" applyAlignment="1">
      <alignment horizontal="left" vertical="center" wrapText="1"/>
    </xf>
    <xf numFmtId="0" fontId="11" fillId="8" borderId="57" xfId="0" applyFont="1" applyFill="1" applyBorder="1" applyAlignment="1">
      <alignment horizontal="left" vertical="center" wrapText="1"/>
    </xf>
    <xf numFmtId="0" fontId="11" fillId="8" borderId="33" xfId="0" applyFont="1" applyFill="1" applyBorder="1" applyAlignment="1">
      <alignment horizontal="left" vertical="center" wrapText="1"/>
    </xf>
    <xf numFmtId="0" fontId="11" fillId="0" borderId="33" xfId="0" applyFont="1" applyBorder="1" applyAlignment="1">
      <alignment vertical="center" wrapText="1"/>
    </xf>
    <xf numFmtId="0" fontId="11" fillId="0" borderId="29" xfId="0" applyFont="1" applyBorder="1" applyAlignment="1">
      <alignment vertical="center" wrapText="1"/>
    </xf>
    <xf numFmtId="0" fontId="11" fillId="0" borderId="31" xfId="0" applyFont="1" applyBorder="1" applyAlignment="1">
      <alignment vertical="center" wrapText="1"/>
    </xf>
    <xf numFmtId="0" fontId="13" fillId="0" borderId="33" xfId="0" applyFont="1" applyBorder="1" applyAlignment="1">
      <alignment horizontal="left" vertical="center" wrapText="1" indent="1"/>
    </xf>
    <xf numFmtId="0" fontId="13" fillId="0" borderId="31" xfId="0" applyFont="1" applyBorder="1" applyAlignment="1">
      <alignment horizontal="left" vertical="center" wrapText="1" indent="1"/>
    </xf>
    <xf numFmtId="0" fontId="13" fillId="0" borderId="29" xfId="0" applyFont="1" applyBorder="1" applyAlignment="1">
      <alignment horizontal="left" vertical="center" wrapText="1" indent="1"/>
    </xf>
    <xf numFmtId="0" fontId="11" fillId="8" borderId="33" xfId="0" applyFont="1" applyFill="1" applyBorder="1" applyAlignment="1">
      <alignment vertical="center" wrapText="1"/>
    </xf>
    <xf numFmtId="0" fontId="11" fillId="8" borderId="31" xfId="0" applyFont="1" applyFill="1" applyBorder="1" applyAlignment="1">
      <alignment vertical="center" wrapText="1"/>
    </xf>
    <xf numFmtId="0" fontId="11" fillId="8" borderId="29" xfId="0" applyFont="1" applyFill="1" applyBorder="1" applyAlignment="1">
      <alignment vertical="center" wrapText="1"/>
    </xf>
  </cellXfs>
  <cellStyles count="3">
    <cellStyle name="Hyperlink" xfId="2" builtinId="8"/>
    <cellStyle name="Normal" xfId="0" builtinId="0"/>
    <cellStyle name="Percent" xfId="1" builtinId="5"/>
  </cellStyles>
  <dxfs count="53">
    <dxf>
      <font>
        <b/>
        <i val="0"/>
      </font>
    </dxf>
    <dxf>
      <font>
        <b/>
        <i val="0"/>
      </font>
    </dxf>
    <dxf>
      <fill>
        <patternFill>
          <bgColor rgb="FFFFFF00"/>
        </patternFill>
      </fill>
    </dxf>
    <dxf>
      <fill>
        <patternFill>
          <bgColor rgb="FFFFFF00"/>
        </patternFill>
      </fill>
    </dxf>
    <dxf>
      <fill>
        <patternFill>
          <bgColor rgb="FFFFFF00"/>
        </patternFill>
      </fill>
    </dxf>
    <dxf>
      <font>
        <color theme="0" tint="-0.34998626667073579"/>
      </font>
      <fill>
        <patternFill>
          <bgColor theme="0" tint="-0.34998626667073579"/>
        </patternFill>
      </fill>
    </dxf>
    <dxf>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ill>
        <patternFill>
          <bgColor rgb="FFFFFF00"/>
        </patternFill>
      </fill>
    </dxf>
    <dxf>
      <fill>
        <patternFill>
          <bgColor rgb="FFFFFF00"/>
        </patternFill>
      </fill>
    </dxf>
    <dxf>
      <fill>
        <patternFill>
          <bgColor rgb="FFFFFF00"/>
        </patternFill>
      </fill>
    </dxf>
    <dxf>
      <font>
        <color theme="0" tint="-0.34998626667073579"/>
      </font>
      <fill>
        <patternFill>
          <bgColor theme="0" tint="-0.34998626667073579"/>
        </patternFill>
      </fill>
      <border>
        <left/>
        <right/>
        <top/>
        <bottom/>
      </border>
    </dxf>
    <dxf>
      <font>
        <color theme="1"/>
      </font>
      <fill>
        <patternFill>
          <bgColor rgb="FFFFFF00"/>
        </patternFill>
      </fill>
    </dxf>
    <dxf>
      <font>
        <color theme="1"/>
      </font>
      <fill>
        <patternFill>
          <bgColor rgb="FFFFFF00"/>
        </patternFill>
      </fill>
    </dxf>
    <dxf>
      <fill>
        <patternFill>
          <bgColor rgb="FFFFC000"/>
        </patternFill>
      </fill>
    </dxf>
    <dxf>
      <fill>
        <patternFill>
          <bgColor theme="2"/>
        </patternFill>
      </fill>
    </dxf>
    <dxf>
      <fill>
        <patternFill>
          <bgColor rgb="FFFFFF00"/>
        </patternFill>
      </fill>
    </dxf>
    <dxf>
      <font>
        <color theme="1"/>
      </font>
      <fill>
        <patternFill>
          <bgColor theme="0"/>
        </patternFill>
      </fill>
    </dxf>
    <dxf>
      <font>
        <color theme="0" tint="-0.14996795556505021"/>
      </font>
      <fill>
        <patternFill>
          <bgColor theme="0" tint="-0.14996795556505021"/>
        </patternFill>
      </fill>
    </dxf>
    <dxf>
      <font>
        <color theme="1"/>
      </font>
      <fill>
        <patternFill patternType="solid">
          <bgColor theme="0"/>
        </patternFill>
      </fill>
    </dxf>
    <dxf>
      <font>
        <color theme="1"/>
      </font>
      <fill>
        <patternFill>
          <bgColor rgb="FFFFFF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color theme="2"/>
      </font>
      <fill>
        <patternFill>
          <bgColor theme="2"/>
        </patternFill>
      </fill>
    </dxf>
    <dxf>
      <fill>
        <patternFill>
          <bgColor rgb="FFFF99FF"/>
        </patternFill>
      </fill>
    </dxf>
    <dxf>
      <font>
        <color theme="0" tint="-0.24994659260841701"/>
      </font>
      <fill>
        <patternFill>
          <bgColor theme="0" tint="-0.24994659260841701"/>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99FF"/>
        </patternFill>
      </fill>
    </dxf>
    <dxf>
      <fill>
        <patternFill>
          <bgColor rgb="FFFF99FF"/>
        </patternFill>
      </fill>
    </dxf>
    <dxf>
      <fill>
        <patternFill>
          <bgColor rgb="FFFFFF00"/>
        </patternFill>
      </fill>
    </dxf>
    <dxf>
      <font>
        <color theme="1"/>
      </font>
      <fill>
        <patternFill>
          <bgColor rgb="FFFFFF00"/>
        </patternFill>
      </fill>
    </dxf>
  </dxfs>
  <tableStyles count="0" defaultTableStyle="TableStyleMedium2" defaultPivotStyle="PivotStyleLight16"/>
  <colors>
    <mruColors>
      <color rgb="FF000000"/>
      <color rgb="FFFF99FF"/>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ChangeScopeTable"/><Relationship Id="rId1" Type="http://schemas.openxmlformats.org/officeDocument/2006/relationships/hyperlink" Target="https://azureford.sharepoint.com/sites/Global_Failure_Mode_Avoidance/Shared%20Documents/Change%20Point%20Analysis%20Worksheet%20Help.pdf"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2447926</xdr:colOff>
      <xdr:row>60</xdr:row>
      <xdr:rowOff>19050</xdr:rowOff>
    </xdr:to>
    <xdr:sp macro="" textlink="">
      <xdr:nvSpPr>
        <xdr:cNvPr id="2" name="txtMacroEnable" hidden="1">
          <a:extLst>
            <a:ext uri="{FF2B5EF4-FFF2-40B4-BE49-F238E27FC236}">
              <a16:creationId xmlns:a16="http://schemas.microsoft.com/office/drawing/2014/main" id="{00000000-0008-0000-0000-000002000000}"/>
            </a:ext>
          </a:extLst>
        </xdr:cNvPr>
        <xdr:cNvSpPr txBox="1"/>
      </xdr:nvSpPr>
      <xdr:spPr>
        <a:xfrm>
          <a:off x="0" y="0"/>
          <a:ext cx="10820401" cy="1170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4800">
              <a:solidFill>
                <a:srgbClr val="FF0000"/>
              </a:solidFill>
              <a:latin typeface="Ford Black" panose="02000505020000020004" pitchFamily="2" charset="0"/>
            </a:rPr>
            <a:t>Please enable macros to view the worksheet</a:t>
          </a:r>
        </a:p>
      </xdr:txBody>
    </xdr:sp>
    <xdr:clientData/>
  </xdr:twoCellAnchor>
  <xdr:twoCellAnchor editAs="absolute">
    <xdr:from>
      <xdr:col>8</xdr:col>
      <xdr:colOff>38100</xdr:colOff>
      <xdr:row>9</xdr:row>
      <xdr:rowOff>69704</xdr:rowOff>
    </xdr:from>
    <xdr:to>
      <xdr:col>8</xdr:col>
      <xdr:colOff>1722925</xdr:colOff>
      <xdr:row>9</xdr:row>
      <xdr:rowOff>753615</xdr:rowOff>
    </xdr:to>
    <xdr:sp macro="" textlink="">
      <xdr:nvSpPr>
        <xdr:cNvPr id="3" name="TextBox 2">
          <a:hlinkClick xmlns:r="http://schemas.openxmlformats.org/officeDocument/2006/relationships" r:id="rId1"/>
          <a:extLst>
            <a:ext uri="{FF2B5EF4-FFF2-40B4-BE49-F238E27FC236}">
              <a16:creationId xmlns:a16="http://schemas.microsoft.com/office/drawing/2014/main" id="{15AA6D8A-E582-4D28-AE1E-5F55056A59C8}"/>
            </a:ext>
          </a:extLst>
        </xdr:cNvPr>
        <xdr:cNvSpPr txBox="1"/>
      </xdr:nvSpPr>
      <xdr:spPr>
        <a:xfrm>
          <a:off x="10934700" y="1628776"/>
          <a:ext cx="1685925" cy="695324"/>
        </a:xfrm>
        <a:prstGeom prst="rect">
          <a:avLst/>
        </a:prstGeom>
        <a:solidFill>
          <a:srgbClr val="0000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100" b="1">
              <a:solidFill>
                <a:schemeClr val="bg1"/>
              </a:solidFill>
            </a:rPr>
            <a:t>CLICK FOR</a:t>
          </a:r>
          <a:r>
            <a:rPr lang="en-AU" sz="1100" b="1" baseline="0">
              <a:solidFill>
                <a:schemeClr val="bg1"/>
              </a:solidFill>
            </a:rPr>
            <a:t> </a:t>
          </a:r>
          <a:r>
            <a:rPr lang="en-AU" sz="1100" b="1">
              <a:solidFill>
                <a:schemeClr val="bg1"/>
              </a:solidFill>
            </a:rPr>
            <a:t>CHANGE</a:t>
          </a:r>
          <a:r>
            <a:rPr lang="en-AU" sz="1100" b="1" baseline="0">
              <a:solidFill>
                <a:schemeClr val="bg1"/>
              </a:solidFill>
            </a:rPr>
            <a:t> POINT ANALYSIS WORKSHEET HELP</a:t>
          </a:r>
          <a:endParaRPr lang="en-AU" sz="1100" b="1">
            <a:solidFill>
              <a:schemeClr val="bg1"/>
            </a:solidFill>
          </a:endParaRPr>
        </a:p>
      </xdr:txBody>
    </xdr:sp>
    <xdr:clientData fPrintsWithSheet="0"/>
  </xdr:twoCellAnchor>
  <xdr:twoCellAnchor>
    <xdr:from>
      <xdr:col>6</xdr:col>
      <xdr:colOff>85725</xdr:colOff>
      <xdr:row>44</xdr:row>
      <xdr:rowOff>0</xdr:rowOff>
    </xdr:from>
    <xdr:to>
      <xdr:col>7</xdr:col>
      <xdr:colOff>2419350</xdr:colOff>
      <xdr:row>45</xdr:row>
      <xdr:rowOff>0</xdr:rowOff>
    </xdr:to>
    <xdr:sp macro="" textlink="">
      <xdr:nvSpPr>
        <xdr:cNvPr id="5" name="TextBox 4">
          <a:hlinkClick xmlns:r="http://schemas.openxmlformats.org/officeDocument/2006/relationships" r:id="rId2"/>
          <a:extLst>
            <a:ext uri="{FF2B5EF4-FFF2-40B4-BE49-F238E27FC236}">
              <a16:creationId xmlns:a16="http://schemas.microsoft.com/office/drawing/2014/main" id="{8EB4965D-7594-4DEA-B237-DF1B821D45C6}"/>
            </a:ext>
          </a:extLst>
        </xdr:cNvPr>
        <xdr:cNvSpPr txBox="1"/>
      </xdr:nvSpPr>
      <xdr:spPr>
        <a:xfrm>
          <a:off x="7829550" y="9629775"/>
          <a:ext cx="3028950" cy="2667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100" b="1">
              <a:solidFill>
                <a:srgbClr val="FF0000"/>
              </a:solidFill>
            </a:rPr>
            <a:t>PLEASE REFER TO CHANGE SCOPE TABLE</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A1:AA63"/>
  <sheetViews>
    <sheetView showGridLines="0" showZeros="0" tabSelected="1" zoomScale="85" zoomScaleNormal="85" workbookViewId="0">
      <pane xSplit="3" ySplit="12" topLeftCell="D52" activePane="bottomRight" state="frozen"/>
      <selection pane="topRight" activeCell="D1" sqref="D1"/>
      <selection pane="bottomLeft" activeCell="A12" sqref="A12"/>
      <selection pane="bottomRight" activeCell="G56" sqref="G56:H56"/>
    </sheetView>
  </sheetViews>
  <sheetFormatPr defaultColWidth="9.140625" defaultRowHeight="12.75" outlineLevelRow="1" x14ac:dyDescent="0.2"/>
  <cols>
    <col min="1" max="1" width="6.28515625" style="94" customWidth="1"/>
    <col min="2" max="2" width="19.140625" style="94" customWidth="1"/>
    <col min="3" max="3" width="30" style="94" customWidth="1"/>
    <col min="4" max="4" width="11.28515625" style="94" customWidth="1"/>
    <col min="5" max="5" width="36.85546875" style="94" customWidth="1"/>
    <col min="6" max="6" width="12.5703125" style="94" customWidth="1"/>
    <col min="7" max="7" width="10.42578125" style="94" customWidth="1"/>
    <col min="8" max="8" width="36.85546875" style="94" customWidth="1"/>
    <col min="9" max="9" width="26.28515625" style="53" customWidth="1"/>
    <col min="10" max="10" width="9.85546875" style="76" customWidth="1"/>
    <col min="11" max="11" width="49.5703125" style="76" customWidth="1"/>
    <col min="12" max="12" width="9.140625" style="58"/>
    <col min="13" max="19" width="9.140625" style="57"/>
    <col min="20" max="26" width="9.140625" style="76"/>
    <col min="27" max="16384" width="9.140625" style="53"/>
  </cols>
  <sheetData>
    <row r="1" spans="1:27" ht="16.5" customHeight="1" outlineLevel="1" thickBot="1" x14ac:dyDescent="0.25">
      <c r="A1" s="238" t="s">
        <v>213</v>
      </c>
      <c r="B1" s="239"/>
      <c r="C1" s="239"/>
      <c r="D1" s="55"/>
      <c r="E1" s="56" t="s">
        <v>202</v>
      </c>
      <c r="F1" s="99">
        <v>1</v>
      </c>
      <c r="G1" s="56" t="s">
        <v>201</v>
      </c>
      <c r="H1" s="107">
        <v>44862</v>
      </c>
      <c r="I1" s="53" t="str">
        <f>"Total Completion: " &amp; I60 &amp; "%"</f>
        <v>Total Completion: 97%</v>
      </c>
      <c r="J1" s="76" t="str">
        <f>"Section completion: " &amp; ROUND(COUNTA(C2:C10,F2:H8,F1,H1)/0.18,0) &amp;"%"</f>
        <v>Section completion: 100%</v>
      </c>
      <c r="R1" s="57" t="s">
        <v>164</v>
      </c>
      <c r="U1" s="57"/>
      <c r="V1" s="57"/>
      <c r="W1" s="57"/>
      <c r="X1" s="57"/>
      <c r="Y1" s="57"/>
      <c r="Z1" s="57"/>
      <c r="AA1" s="57"/>
    </row>
    <row r="2" spans="1:27" ht="14.25" customHeight="1" outlineLevel="1" x14ac:dyDescent="0.2">
      <c r="A2" s="165" t="s">
        <v>29</v>
      </c>
      <c r="B2" s="189"/>
      <c r="C2" s="105" t="s">
        <v>215</v>
      </c>
      <c r="D2" s="210" t="str">
        <f>C4 &amp;" Name"</f>
        <v>Feature Name</v>
      </c>
      <c r="E2" s="211"/>
      <c r="F2" s="207" t="s">
        <v>235</v>
      </c>
      <c r="G2" s="208"/>
      <c r="H2" s="209"/>
      <c r="I2" s="223" t="s">
        <v>55</v>
      </c>
      <c r="K2" s="57" t="s">
        <v>140</v>
      </c>
      <c r="R2" s="57" t="s">
        <v>165</v>
      </c>
      <c r="U2" s="57"/>
      <c r="V2" s="57"/>
      <c r="W2" s="57"/>
      <c r="X2" s="57"/>
      <c r="Y2" s="57"/>
      <c r="Z2" s="57"/>
      <c r="AA2" s="57"/>
    </row>
    <row r="3" spans="1:27" ht="14.25" customHeight="1" outlineLevel="1" x14ac:dyDescent="0.2">
      <c r="A3" s="165" t="s">
        <v>30</v>
      </c>
      <c r="B3" s="189"/>
      <c r="C3" s="106">
        <v>2024</v>
      </c>
      <c r="D3" s="160" t="s">
        <v>200</v>
      </c>
      <c r="E3" s="160"/>
      <c r="F3" s="179" t="s">
        <v>170</v>
      </c>
      <c r="G3" s="179"/>
      <c r="H3" s="181"/>
      <c r="I3" s="223"/>
      <c r="K3" s="57" t="str">
        <f>IF(C7="None","","Update Existing")</f>
        <v/>
      </c>
      <c r="R3" s="57" t="s">
        <v>166</v>
      </c>
      <c r="U3" s="57"/>
      <c r="V3" s="57"/>
      <c r="W3" s="57"/>
      <c r="X3" s="57"/>
      <c r="Y3" s="57"/>
      <c r="Z3" s="57"/>
      <c r="AA3" s="57"/>
    </row>
    <row r="4" spans="1:27" ht="14.25" customHeight="1" outlineLevel="1" x14ac:dyDescent="0.2">
      <c r="A4" s="165" t="s">
        <v>31</v>
      </c>
      <c r="B4" s="189"/>
      <c r="C4" s="106" t="s">
        <v>214</v>
      </c>
      <c r="D4" s="160" t="str">
        <f>IF(C4="Feature","Feature",IF(C4="System","System","D&amp;R"))&amp;" Engineer"</f>
        <v>Feature Engineer</v>
      </c>
      <c r="E4" s="161"/>
      <c r="F4" s="179" t="s">
        <v>234</v>
      </c>
      <c r="G4" s="179"/>
      <c r="H4" s="181"/>
      <c r="I4" s="223"/>
      <c r="K4" s="76" t="str">
        <f>IF(C5="Ford","Not Required","")</f>
        <v>Not Required</v>
      </c>
      <c r="R4" s="57" t="s">
        <v>167</v>
      </c>
      <c r="U4" s="57"/>
      <c r="V4" s="57"/>
      <c r="W4" s="57"/>
      <c r="X4" s="57"/>
      <c r="Y4" s="57"/>
      <c r="Z4" s="57"/>
      <c r="AA4" s="57"/>
    </row>
    <row r="5" spans="1:27" ht="14.25" customHeight="1" outlineLevel="1" x14ac:dyDescent="0.2">
      <c r="A5" s="165" t="s">
        <v>32</v>
      </c>
      <c r="B5" s="189"/>
      <c r="C5" s="106" t="s">
        <v>230</v>
      </c>
      <c r="D5" s="160" t="s">
        <v>142</v>
      </c>
      <c r="E5" s="160"/>
      <c r="F5" s="179" t="s">
        <v>220</v>
      </c>
      <c r="G5" s="179"/>
      <c r="H5" s="181"/>
      <c r="I5" s="223"/>
      <c r="R5" s="57" t="s">
        <v>168</v>
      </c>
      <c r="U5" s="57"/>
      <c r="V5" s="57"/>
      <c r="W5" s="57"/>
      <c r="X5" s="57"/>
      <c r="Y5" s="57"/>
      <c r="Z5" s="57"/>
      <c r="AA5" s="57"/>
    </row>
    <row r="6" spans="1:27" ht="14.25" customHeight="1" outlineLevel="1" x14ac:dyDescent="0.2">
      <c r="A6" s="165" t="s">
        <v>33</v>
      </c>
      <c r="B6" s="189"/>
      <c r="C6" s="106" t="s">
        <v>240</v>
      </c>
      <c r="D6" s="160" t="s">
        <v>141</v>
      </c>
      <c r="E6" s="161"/>
      <c r="F6" s="179" t="s">
        <v>232</v>
      </c>
      <c r="G6" s="180"/>
      <c r="H6" s="181"/>
      <c r="I6" s="223"/>
      <c r="R6" s="57" t="s">
        <v>169</v>
      </c>
      <c r="U6" s="57"/>
      <c r="V6" s="57"/>
      <c r="W6" s="57"/>
      <c r="X6" s="57"/>
      <c r="Y6" s="57"/>
      <c r="Z6" s="57"/>
      <c r="AA6" s="57"/>
    </row>
    <row r="7" spans="1:27" outlineLevel="1" x14ac:dyDescent="0.2">
      <c r="A7" s="165" t="s">
        <v>211</v>
      </c>
      <c r="B7" s="173"/>
      <c r="C7" s="108" t="s">
        <v>229</v>
      </c>
      <c r="D7" s="160" t="s">
        <v>143</v>
      </c>
      <c r="E7" s="161"/>
      <c r="F7" s="179" t="s">
        <v>248</v>
      </c>
      <c r="G7" s="180"/>
      <c r="H7" s="181"/>
      <c r="I7" s="223"/>
      <c r="R7" s="57" t="s">
        <v>170</v>
      </c>
      <c r="U7" s="57"/>
      <c r="V7" s="57"/>
      <c r="W7" s="57"/>
      <c r="X7" s="57"/>
      <c r="Y7" s="57"/>
      <c r="Z7" s="57"/>
      <c r="AA7" s="57"/>
    </row>
    <row r="8" spans="1:27" outlineLevel="1" x14ac:dyDescent="0.2">
      <c r="A8" s="165" t="s">
        <v>208</v>
      </c>
      <c r="B8" s="173"/>
      <c r="C8" s="108" t="s">
        <v>229</v>
      </c>
      <c r="D8" s="174" t="str">
        <f>IF(C9="Module","Module Details:",IF(C9="Prior Design","Vehicles using Prior design:","Design Surrogate(s) details:"))</f>
        <v>Design Surrogate(s) details:</v>
      </c>
      <c r="E8" s="175"/>
      <c r="F8" s="167" t="s">
        <v>236</v>
      </c>
      <c r="G8" s="168"/>
      <c r="H8" s="169"/>
      <c r="I8" s="223"/>
      <c r="R8" s="57" t="s">
        <v>171</v>
      </c>
      <c r="U8" s="57"/>
      <c r="V8" s="57"/>
      <c r="W8" s="57"/>
      <c r="X8" s="57"/>
      <c r="Y8" s="57"/>
      <c r="Z8" s="57"/>
      <c r="AA8" s="57"/>
    </row>
    <row r="9" spans="1:27" ht="14.25" customHeight="1" outlineLevel="1" x14ac:dyDescent="0.2">
      <c r="A9" s="165" t="s">
        <v>160</v>
      </c>
      <c r="B9" s="166"/>
      <c r="C9" s="108" t="s">
        <v>233</v>
      </c>
      <c r="D9" s="176"/>
      <c r="E9" s="177"/>
      <c r="F9" s="170"/>
      <c r="G9" s="171"/>
      <c r="H9" s="172"/>
      <c r="I9" s="223"/>
      <c r="U9" s="57"/>
      <c r="V9" s="57"/>
      <c r="W9" s="57"/>
      <c r="X9" s="57"/>
      <c r="Y9" s="57"/>
      <c r="Z9" s="57"/>
      <c r="AA9" s="57"/>
    </row>
    <row r="10" spans="1:27" ht="63.75" customHeight="1" outlineLevel="1" thickBot="1" x14ac:dyDescent="0.25">
      <c r="A10" s="165" t="str">
        <f>"Brief Description of Changes " &amp; IF(C9="Module","to module for this application.",IF(C9="Prior Design"," from Prior design:"," from Design Surrogate(s)"))</f>
        <v>Brief Description of Changes  from Design Surrogate(s)</v>
      </c>
      <c r="B10" s="189"/>
      <c r="C10" s="182" t="s">
        <v>249</v>
      </c>
      <c r="D10" s="182"/>
      <c r="E10" s="182"/>
      <c r="F10" s="182"/>
      <c r="G10" s="182"/>
      <c r="H10" s="183"/>
      <c r="I10" s="223"/>
      <c r="R10" s="57" t="s">
        <v>172</v>
      </c>
      <c r="U10" s="57"/>
      <c r="V10" s="57"/>
      <c r="W10" s="57"/>
      <c r="X10" s="57"/>
      <c r="Y10" s="57"/>
      <c r="Z10" s="57"/>
      <c r="AA10" s="57"/>
    </row>
    <row r="11" spans="1:27" ht="15.75" customHeight="1" thickBot="1" x14ac:dyDescent="0.25">
      <c r="A11" s="162" t="s">
        <v>35</v>
      </c>
      <c r="B11" s="163"/>
      <c r="C11" s="163"/>
      <c r="D11" s="163"/>
      <c r="E11" s="163"/>
      <c r="F11" s="163"/>
      <c r="G11" s="163"/>
      <c r="H11" s="164"/>
      <c r="I11" s="59"/>
      <c r="J11" s="96"/>
      <c r="R11" s="57" t="s">
        <v>173</v>
      </c>
      <c r="U11" s="57"/>
      <c r="V11" s="57"/>
      <c r="W11" s="57"/>
      <c r="X11" s="57"/>
      <c r="Y11" s="57"/>
      <c r="Z11" s="57"/>
      <c r="AA11" s="57"/>
    </row>
    <row r="12" spans="1:27" ht="68.849999999999994" customHeight="1" x14ac:dyDescent="0.2">
      <c r="A12" s="245" t="s">
        <v>36</v>
      </c>
      <c r="B12" s="246"/>
      <c r="C12" s="246"/>
      <c r="D12" s="45" t="s">
        <v>0</v>
      </c>
      <c r="E12" s="45" t="s">
        <v>47</v>
      </c>
      <c r="F12" s="46" t="str">
        <f>IF(C5="Supplier","Within Supplier Verified Range?","Within Verified Range?")</f>
        <v>Within Verified Range?</v>
      </c>
      <c r="G12" s="46" t="s">
        <v>58</v>
      </c>
      <c r="H12" s="47" t="s">
        <v>56</v>
      </c>
      <c r="I12" s="134" t="s">
        <v>154</v>
      </c>
      <c r="J12" s="97" t="str">
        <f>"Section completion: " &amp; ROUND(SUM(N13:N37)/0.25,0) &amp;"%"</f>
        <v>Section completion: 100%</v>
      </c>
      <c r="K12" s="89"/>
      <c r="R12" s="57" t="s">
        <v>174</v>
      </c>
      <c r="U12" s="57"/>
      <c r="V12" s="57"/>
      <c r="W12" s="57"/>
      <c r="X12" s="57"/>
      <c r="Y12" s="57"/>
      <c r="Z12" s="57"/>
      <c r="AA12" s="57"/>
    </row>
    <row r="13" spans="1:27" x14ac:dyDescent="0.2">
      <c r="A13" s="247" t="s">
        <v>34</v>
      </c>
      <c r="B13" s="188" t="s">
        <v>1</v>
      </c>
      <c r="C13" s="60" t="s">
        <v>51</v>
      </c>
      <c r="D13" s="38" t="s">
        <v>216</v>
      </c>
      <c r="E13" s="38" t="s">
        <v>221</v>
      </c>
      <c r="F13" s="61" t="s">
        <v>219</v>
      </c>
      <c r="G13" s="62" t="s">
        <v>216</v>
      </c>
      <c r="H13" s="63"/>
      <c r="I13" s="64" t="s">
        <v>1</v>
      </c>
      <c r="J13" s="89"/>
      <c r="K13" s="89"/>
      <c r="L13" s="58">
        <f>IF(OR($C$6="C",$C$6="T",LEFT($C$6,1)="S"),1,IF(D13="Nil",1,IF(D13="N/A",2,4)))</f>
        <v>4</v>
      </c>
      <c r="M13" s="57">
        <f>IF(L13=1,1,IF(L13=2,COUNTA(D13:E13),COUNTA(D13:G13)))</f>
        <v>4</v>
      </c>
      <c r="N13" s="57">
        <f>IF(M13=L13,1,0)</f>
        <v>1</v>
      </c>
      <c r="R13" s="57" t="s">
        <v>163</v>
      </c>
      <c r="U13" s="57"/>
      <c r="V13" s="57"/>
      <c r="W13" s="57"/>
      <c r="X13" s="57"/>
      <c r="Y13" s="57"/>
      <c r="Z13" s="57"/>
      <c r="AA13" s="57"/>
    </row>
    <row r="14" spans="1:27" ht="38.25" x14ac:dyDescent="0.2">
      <c r="A14" s="247"/>
      <c r="B14" s="188"/>
      <c r="C14" s="60" t="s">
        <v>179</v>
      </c>
      <c r="D14" s="38" t="s">
        <v>217</v>
      </c>
      <c r="E14" s="38" t="s">
        <v>222</v>
      </c>
      <c r="F14" s="61" t="s">
        <v>219</v>
      </c>
      <c r="G14" s="62" t="s">
        <v>217</v>
      </c>
      <c r="H14" s="63"/>
      <c r="I14" s="64" t="s">
        <v>1</v>
      </c>
      <c r="J14" s="89"/>
      <c r="K14" s="89"/>
      <c r="L14" s="58">
        <f>IF(OR($C$6="C",$C$6="T"),1,IF(D14="Nil",1,IF(D14="N/A",2,4)))</f>
        <v>1</v>
      </c>
      <c r="M14" s="57">
        <f>IF(L14=1,1,IF(L14=2,COUNTA(D14:E14),COUNTA(D14:G14)))</f>
        <v>1</v>
      </c>
      <c r="N14" s="57">
        <f>IF(M14=L14,1,0)</f>
        <v>1</v>
      </c>
      <c r="R14" s="57" t="s">
        <v>175</v>
      </c>
      <c r="U14" s="57"/>
      <c r="V14" s="57"/>
      <c r="W14" s="57"/>
      <c r="X14" s="57"/>
      <c r="Y14" s="57"/>
      <c r="Z14" s="57"/>
      <c r="AA14" s="57"/>
    </row>
    <row r="15" spans="1:27" x14ac:dyDescent="0.2">
      <c r="A15" s="247"/>
      <c r="B15" s="188"/>
      <c r="C15" s="60" t="s">
        <v>2</v>
      </c>
      <c r="D15" s="38" t="s">
        <v>218</v>
      </c>
      <c r="E15" s="38" t="s">
        <v>223</v>
      </c>
      <c r="F15" s="61"/>
      <c r="G15" s="62"/>
      <c r="H15" s="63"/>
      <c r="I15" s="64" t="s">
        <v>1</v>
      </c>
      <c r="J15" s="89"/>
      <c r="K15" s="89"/>
      <c r="L15" s="58">
        <f>IF(OR($C$6="C",$C$6="T",LEFT($C$6,1)="S"),1,IF(D15="Nil",1,IF(D15="N/A",2,4)))</f>
        <v>2</v>
      </c>
      <c r="M15" s="57">
        <f t="shared" ref="M15:M37" si="0">IF(L15=1,1,IF(L15=2,COUNTA(D15:E15),COUNTA(D15:G15)))</f>
        <v>2</v>
      </c>
      <c r="N15" s="57">
        <f t="shared" ref="N15:N37" si="1">IF(M15=L15,1,0)</f>
        <v>1</v>
      </c>
      <c r="R15" s="57" t="s">
        <v>176</v>
      </c>
      <c r="U15" s="57"/>
      <c r="V15" s="57"/>
      <c r="W15" s="57"/>
      <c r="X15" s="57"/>
      <c r="Y15" s="57"/>
      <c r="Z15" s="57"/>
      <c r="AA15" s="57"/>
    </row>
    <row r="16" spans="1:27" x14ac:dyDescent="0.2">
      <c r="A16" s="247"/>
      <c r="B16" s="188"/>
      <c r="C16" s="60" t="s">
        <v>3</v>
      </c>
      <c r="D16" s="38" t="s">
        <v>218</v>
      </c>
      <c r="E16" s="38" t="s">
        <v>223</v>
      </c>
      <c r="F16" s="61"/>
      <c r="G16" s="62"/>
      <c r="H16" s="63"/>
      <c r="I16" s="64" t="s">
        <v>1</v>
      </c>
      <c r="J16" s="89"/>
      <c r="K16" s="89"/>
      <c r="L16" s="58">
        <f>IF(OR($C$6="C",$C$6="T",LEFT($C$6,1)="S"),1,IF(D16="Nil",1,IF(D16="N/A",2,4)))</f>
        <v>2</v>
      </c>
      <c r="M16" s="57">
        <f t="shared" si="0"/>
        <v>2</v>
      </c>
      <c r="N16" s="57">
        <f t="shared" si="1"/>
        <v>1</v>
      </c>
      <c r="R16" s="57" t="s">
        <v>177</v>
      </c>
      <c r="U16" s="57"/>
      <c r="V16" s="57"/>
      <c r="W16" s="57"/>
      <c r="X16" s="57"/>
      <c r="Y16" s="57"/>
      <c r="Z16" s="57"/>
      <c r="AA16" s="57"/>
    </row>
    <row r="17" spans="1:27" x14ac:dyDescent="0.2">
      <c r="A17" s="247"/>
      <c r="B17" s="188"/>
      <c r="C17" s="60" t="s">
        <v>4</v>
      </c>
      <c r="D17" s="38" t="s">
        <v>218</v>
      </c>
      <c r="E17" s="38" t="s">
        <v>223</v>
      </c>
      <c r="F17" s="61"/>
      <c r="G17" s="62"/>
      <c r="H17" s="63"/>
      <c r="I17" s="64" t="s">
        <v>1</v>
      </c>
      <c r="J17" s="89"/>
      <c r="K17" s="89"/>
      <c r="L17" s="58">
        <f>IF(OR($C$6="C",$C$6="T",LEFT($C$6,1)="S"),1,IF(D17="Nil",1,IF(D17="N/A",2,4)))</f>
        <v>2</v>
      </c>
      <c r="M17" s="57">
        <f t="shared" si="0"/>
        <v>2</v>
      </c>
      <c r="N17" s="57">
        <f t="shared" si="1"/>
        <v>1</v>
      </c>
      <c r="R17" s="57" t="s">
        <v>178</v>
      </c>
      <c r="U17" s="57"/>
      <c r="V17" s="57"/>
      <c r="W17" s="57"/>
      <c r="X17" s="57"/>
      <c r="Y17" s="57"/>
      <c r="Z17" s="57"/>
      <c r="AA17" s="57"/>
    </row>
    <row r="18" spans="1:27" x14ac:dyDescent="0.2">
      <c r="A18" s="247"/>
      <c r="B18" s="180"/>
      <c r="C18" s="60" t="s">
        <v>5</v>
      </c>
      <c r="D18" s="38" t="s">
        <v>218</v>
      </c>
      <c r="E18" s="38" t="s">
        <v>223</v>
      </c>
      <c r="F18" s="61"/>
      <c r="G18" s="62"/>
      <c r="H18" s="63"/>
      <c r="I18" s="64" t="s">
        <v>1</v>
      </c>
      <c r="J18" s="89"/>
      <c r="K18" s="89"/>
      <c r="L18" s="58">
        <f>IF(OR($C$6="C",$C$6="T",LEFT($C$6,1)="S"),1,IF(D18="Nil",1,IF(D18="N/A",2,4)))</f>
        <v>2</v>
      </c>
      <c r="M18" s="57">
        <f t="shared" si="0"/>
        <v>2</v>
      </c>
      <c r="N18" s="57">
        <f t="shared" si="1"/>
        <v>1</v>
      </c>
      <c r="U18" s="57"/>
      <c r="V18" s="57"/>
      <c r="W18" s="57"/>
      <c r="X18" s="57"/>
      <c r="Y18" s="57"/>
      <c r="Z18" s="57"/>
      <c r="AA18" s="57"/>
    </row>
    <row r="19" spans="1:27" x14ac:dyDescent="0.2">
      <c r="A19" s="247"/>
      <c r="B19" s="188" t="s">
        <v>6</v>
      </c>
      <c r="C19" s="60" t="s">
        <v>7</v>
      </c>
      <c r="D19" s="38" t="s">
        <v>218</v>
      </c>
      <c r="E19" s="38" t="s">
        <v>223</v>
      </c>
      <c r="F19" s="61"/>
      <c r="G19" s="62"/>
      <c r="H19" s="63"/>
      <c r="I19" s="64" t="s">
        <v>150</v>
      </c>
      <c r="J19" s="89"/>
      <c r="K19" s="89"/>
      <c r="L19" s="58">
        <f>IF(OR(LEFT($C$6,1)="S"),1,IF(D19="Nil",1,IF(D19="N/A",2,4)))</f>
        <v>2</v>
      </c>
      <c r="M19" s="57">
        <f t="shared" si="0"/>
        <v>2</v>
      </c>
      <c r="N19" s="57">
        <f t="shared" si="1"/>
        <v>1</v>
      </c>
      <c r="U19" s="57"/>
      <c r="V19" s="57"/>
      <c r="W19" s="57"/>
      <c r="X19" s="57"/>
      <c r="Y19" s="57"/>
      <c r="Z19" s="57"/>
      <c r="AA19" s="57"/>
    </row>
    <row r="20" spans="1:27" x14ac:dyDescent="0.2">
      <c r="A20" s="247"/>
      <c r="B20" s="188"/>
      <c r="C20" s="60" t="s">
        <v>8</v>
      </c>
      <c r="D20" s="38" t="s">
        <v>218</v>
      </c>
      <c r="E20" s="38" t="s">
        <v>223</v>
      </c>
      <c r="F20" s="61"/>
      <c r="G20" s="62"/>
      <c r="H20" s="63"/>
      <c r="I20" s="64" t="s">
        <v>150</v>
      </c>
      <c r="J20" s="89"/>
      <c r="K20" s="89"/>
      <c r="L20" s="58">
        <f t="shared" ref="L20:L37" si="2">IF(D20="Nil",1,IF(D20="N/A",2,4))</f>
        <v>2</v>
      </c>
      <c r="M20" s="57">
        <f t="shared" si="0"/>
        <v>2</v>
      </c>
      <c r="N20" s="57">
        <f t="shared" si="1"/>
        <v>1</v>
      </c>
      <c r="U20" s="57"/>
      <c r="V20" s="57"/>
      <c r="W20" s="57"/>
      <c r="X20" s="57"/>
      <c r="Y20" s="57"/>
      <c r="Z20" s="57"/>
      <c r="AA20" s="57"/>
    </row>
    <row r="21" spans="1:27" x14ac:dyDescent="0.2">
      <c r="A21" s="247"/>
      <c r="B21" s="188"/>
      <c r="C21" s="60" t="s">
        <v>9</v>
      </c>
      <c r="D21" s="38" t="s">
        <v>218</v>
      </c>
      <c r="E21" s="38" t="s">
        <v>223</v>
      </c>
      <c r="F21" s="61"/>
      <c r="G21" s="62"/>
      <c r="H21" s="63"/>
      <c r="I21" s="64" t="s">
        <v>150</v>
      </c>
      <c r="J21" s="89"/>
      <c r="K21" s="89"/>
      <c r="L21" s="58">
        <f>IF(OR(LEFT($C$6,1)="S"),1,IF(D21="Nil",1,IF(D21="N/A",2,4)))</f>
        <v>2</v>
      </c>
      <c r="M21" s="57">
        <f t="shared" si="0"/>
        <v>2</v>
      </c>
      <c r="N21" s="57">
        <f t="shared" si="1"/>
        <v>1</v>
      </c>
      <c r="U21" s="57"/>
      <c r="V21" s="57"/>
      <c r="W21" s="57"/>
      <c r="X21" s="57"/>
      <c r="Y21" s="57"/>
      <c r="Z21" s="57"/>
      <c r="AA21" s="57"/>
    </row>
    <row r="22" spans="1:27" ht="25.5" x14ac:dyDescent="0.2">
      <c r="A22" s="201" t="s">
        <v>50</v>
      </c>
      <c r="B22" s="65" t="s">
        <v>155</v>
      </c>
      <c r="C22" s="60" t="s">
        <v>10</v>
      </c>
      <c r="D22" s="38" t="s">
        <v>218</v>
      </c>
      <c r="E22" s="38" t="s">
        <v>223</v>
      </c>
      <c r="F22" s="61"/>
      <c r="G22" s="62"/>
      <c r="H22" s="63"/>
      <c r="I22" s="64" t="s">
        <v>151</v>
      </c>
      <c r="J22" s="89"/>
      <c r="K22" s="89"/>
      <c r="L22" s="58">
        <f>IF(OR(LEFT($C$6,1)="S"),1,IF(D22="Nil",1,IF(D22="N/A",2,4)))</f>
        <v>2</v>
      </c>
      <c r="M22" s="57">
        <f t="shared" si="0"/>
        <v>2</v>
      </c>
      <c r="N22" s="57">
        <f t="shared" si="1"/>
        <v>1</v>
      </c>
      <c r="U22" s="57"/>
      <c r="V22" s="57"/>
      <c r="W22" s="57"/>
      <c r="X22" s="57"/>
      <c r="Y22" s="57"/>
      <c r="Z22" s="57"/>
      <c r="AA22" s="57"/>
    </row>
    <row r="23" spans="1:27" x14ac:dyDescent="0.2">
      <c r="A23" s="202"/>
      <c r="B23" s="184" t="s">
        <v>156</v>
      </c>
      <c r="C23" s="60" t="s">
        <v>11</v>
      </c>
      <c r="D23" s="38" t="s">
        <v>218</v>
      </c>
      <c r="E23" s="38" t="s">
        <v>224</v>
      </c>
      <c r="F23" s="61"/>
      <c r="G23" s="62"/>
      <c r="H23" s="63"/>
      <c r="I23" s="64" t="s">
        <v>151</v>
      </c>
      <c r="J23" s="89"/>
      <c r="K23" s="89"/>
      <c r="L23" s="58">
        <f t="shared" si="2"/>
        <v>2</v>
      </c>
      <c r="M23" s="57">
        <f t="shared" si="0"/>
        <v>2</v>
      </c>
      <c r="N23" s="57">
        <f t="shared" si="1"/>
        <v>1</v>
      </c>
      <c r="U23" s="57"/>
      <c r="V23" s="57"/>
      <c r="W23" s="57"/>
      <c r="X23" s="57"/>
      <c r="Y23" s="57"/>
      <c r="Z23" s="57"/>
      <c r="AA23" s="57"/>
    </row>
    <row r="24" spans="1:27" ht="25.5" x14ac:dyDescent="0.2">
      <c r="A24" s="202"/>
      <c r="B24" s="185"/>
      <c r="C24" s="60" t="s">
        <v>12</v>
      </c>
      <c r="D24" s="38" t="s">
        <v>218</v>
      </c>
      <c r="E24" s="38" t="s">
        <v>223</v>
      </c>
      <c r="F24" s="61"/>
      <c r="G24" s="62"/>
      <c r="H24" s="63"/>
      <c r="I24" s="64" t="s">
        <v>151</v>
      </c>
      <c r="J24" s="89"/>
      <c r="K24" s="89"/>
      <c r="L24" s="58">
        <f>IF(OR(LEFT($C$6,1)="S"),1,IF(D24="Nil",1,IF(D24="N/A",2,4)))</f>
        <v>2</v>
      </c>
      <c r="M24" s="57">
        <f t="shared" si="0"/>
        <v>2</v>
      </c>
      <c r="N24" s="57">
        <f t="shared" si="1"/>
        <v>1</v>
      </c>
      <c r="U24" s="57"/>
      <c r="V24" s="57"/>
      <c r="W24" s="57"/>
      <c r="X24" s="57"/>
      <c r="Y24" s="57"/>
      <c r="Z24" s="57"/>
      <c r="AA24" s="57"/>
    </row>
    <row r="25" spans="1:27" x14ac:dyDescent="0.2">
      <c r="A25" s="202"/>
      <c r="B25" s="186" t="s">
        <v>13</v>
      </c>
      <c r="C25" s="60" t="s">
        <v>14</v>
      </c>
      <c r="D25" s="38" t="s">
        <v>217</v>
      </c>
      <c r="E25" s="38" t="s">
        <v>225</v>
      </c>
      <c r="F25" s="61"/>
      <c r="G25" s="62"/>
      <c r="H25" s="63"/>
      <c r="I25" s="64" t="s">
        <v>152</v>
      </c>
      <c r="J25" s="89"/>
      <c r="K25" s="89"/>
      <c r="L25" s="58">
        <f t="shared" si="2"/>
        <v>1</v>
      </c>
      <c r="M25" s="57">
        <f t="shared" si="0"/>
        <v>1</v>
      </c>
      <c r="N25" s="57">
        <f t="shared" si="1"/>
        <v>1</v>
      </c>
      <c r="U25" s="57"/>
      <c r="V25" s="57"/>
      <c r="W25" s="57"/>
      <c r="X25" s="57"/>
      <c r="Y25" s="57"/>
      <c r="Z25" s="57"/>
      <c r="AA25" s="57"/>
    </row>
    <row r="26" spans="1:27" ht="25.5" x14ac:dyDescent="0.2">
      <c r="A26" s="202"/>
      <c r="B26" s="187"/>
      <c r="C26" s="60" t="s">
        <v>15</v>
      </c>
      <c r="D26" s="38" t="s">
        <v>218</v>
      </c>
      <c r="E26" s="38" t="s">
        <v>223</v>
      </c>
      <c r="F26" s="61"/>
      <c r="G26" s="62"/>
      <c r="H26" s="63"/>
      <c r="I26" s="64" t="s">
        <v>152</v>
      </c>
      <c r="J26" s="89"/>
      <c r="K26" s="89"/>
      <c r="L26" s="58">
        <f t="shared" si="2"/>
        <v>2</v>
      </c>
      <c r="M26" s="57">
        <f t="shared" si="0"/>
        <v>2</v>
      </c>
      <c r="N26" s="57">
        <f t="shared" si="1"/>
        <v>1</v>
      </c>
      <c r="U26" s="57"/>
      <c r="V26" s="57"/>
      <c r="W26" s="57"/>
      <c r="X26" s="57"/>
      <c r="Y26" s="57"/>
      <c r="Z26" s="57"/>
      <c r="AA26" s="57"/>
    </row>
    <row r="27" spans="1:27" x14ac:dyDescent="0.2">
      <c r="A27" s="202"/>
      <c r="B27" s="188" t="s">
        <v>16</v>
      </c>
      <c r="C27" s="60" t="s">
        <v>17</v>
      </c>
      <c r="D27" s="38" t="s">
        <v>217</v>
      </c>
      <c r="E27" s="38" t="s">
        <v>237</v>
      </c>
      <c r="F27" s="61" t="s">
        <v>219</v>
      </c>
      <c r="G27" s="62"/>
      <c r="H27" s="63"/>
      <c r="I27" s="64" t="s">
        <v>153</v>
      </c>
      <c r="J27" s="89"/>
      <c r="K27" s="89"/>
      <c r="L27" s="58">
        <f t="shared" si="2"/>
        <v>1</v>
      </c>
      <c r="M27" s="57">
        <f t="shared" si="0"/>
        <v>1</v>
      </c>
      <c r="N27" s="57">
        <f t="shared" si="1"/>
        <v>1</v>
      </c>
      <c r="U27" s="57"/>
      <c r="V27" s="57"/>
      <c r="W27" s="57"/>
      <c r="X27" s="57"/>
      <c r="Y27" s="57"/>
      <c r="Z27" s="57"/>
      <c r="AA27" s="57"/>
    </row>
    <row r="28" spans="1:27" ht="38.25" x14ac:dyDescent="0.2">
      <c r="A28" s="202"/>
      <c r="B28" s="180"/>
      <c r="C28" s="60" t="s">
        <v>18</v>
      </c>
      <c r="D28" s="38" t="s">
        <v>216</v>
      </c>
      <c r="E28" s="38" t="s">
        <v>239</v>
      </c>
      <c r="F28" s="61" t="s">
        <v>219</v>
      </c>
      <c r="G28" s="62" t="s">
        <v>216</v>
      </c>
      <c r="H28" s="63" t="s">
        <v>238</v>
      </c>
      <c r="I28" s="64" t="s">
        <v>153</v>
      </c>
      <c r="J28" s="89"/>
      <c r="K28" s="89"/>
      <c r="L28" s="58">
        <f t="shared" si="2"/>
        <v>4</v>
      </c>
      <c r="M28" s="57">
        <f t="shared" si="0"/>
        <v>4</v>
      </c>
      <c r="N28" s="57">
        <f t="shared" si="1"/>
        <v>1</v>
      </c>
      <c r="U28" s="57"/>
      <c r="V28" s="57"/>
      <c r="W28" s="57"/>
      <c r="X28" s="57"/>
      <c r="Y28" s="57"/>
      <c r="Z28" s="57"/>
      <c r="AA28" s="57"/>
    </row>
    <row r="29" spans="1:27" ht="25.5" x14ac:dyDescent="0.2">
      <c r="A29" s="202"/>
      <c r="B29" s="180"/>
      <c r="C29" s="60" t="s">
        <v>19</v>
      </c>
      <c r="D29" s="38" t="s">
        <v>217</v>
      </c>
      <c r="E29" s="38" t="s">
        <v>225</v>
      </c>
      <c r="F29" s="61"/>
      <c r="G29" s="62"/>
      <c r="H29" s="63"/>
      <c r="I29" s="64" t="s">
        <v>151</v>
      </c>
      <c r="J29" s="89"/>
      <c r="K29" s="89"/>
      <c r="L29" s="58">
        <f t="shared" si="2"/>
        <v>1</v>
      </c>
      <c r="M29" s="57">
        <f t="shared" si="0"/>
        <v>1</v>
      </c>
      <c r="N29" s="57">
        <f t="shared" si="1"/>
        <v>1</v>
      </c>
      <c r="U29" s="57"/>
      <c r="V29" s="57"/>
      <c r="W29" s="57"/>
      <c r="X29" s="57"/>
      <c r="Y29" s="57"/>
      <c r="Z29" s="57"/>
      <c r="AA29" s="57"/>
    </row>
    <row r="30" spans="1:27" x14ac:dyDescent="0.2">
      <c r="A30" s="203"/>
      <c r="B30" s="180"/>
      <c r="C30" s="60" t="s">
        <v>20</v>
      </c>
      <c r="D30" s="38" t="s">
        <v>217</v>
      </c>
      <c r="E30" s="38" t="s">
        <v>225</v>
      </c>
      <c r="F30" s="61"/>
      <c r="G30" s="62"/>
      <c r="H30" s="63"/>
      <c r="I30" s="64" t="s">
        <v>152</v>
      </c>
      <c r="J30" s="89"/>
      <c r="K30" s="89"/>
      <c r="L30" s="58">
        <f>IF(OR(LEFT($C$6,1)="S"),1,IF(D30="Nil",1,IF(D30="N/A",2,4)))</f>
        <v>1</v>
      </c>
      <c r="M30" s="57">
        <f t="shared" si="0"/>
        <v>1</v>
      </c>
      <c r="N30" s="57">
        <f t="shared" si="1"/>
        <v>1</v>
      </c>
      <c r="U30" s="57"/>
      <c r="V30" s="57"/>
      <c r="W30" s="57"/>
      <c r="X30" s="57"/>
      <c r="Y30" s="57"/>
      <c r="Z30" s="57"/>
      <c r="AA30" s="57"/>
    </row>
    <row r="31" spans="1:27" ht="25.5" x14ac:dyDescent="0.2">
      <c r="A31" s="247" t="s">
        <v>48</v>
      </c>
      <c r="B31" s="65" t="s">
        <v>21</v>
      </c>
      <c r="C31" s="60" t="s">
        <v>10</v>
      </c>
      <c r="D31" s="38" t="s">
        <v>218</v>
      </c>
      <c r="E31" s="38" t="s">
        <v>223</v>
      </c>
      <c r="F31" s="61"/>
      <c r="G31" s="62"/>
      <c r="H31" s="63"/>
      <c r="I31" s="64" t="s">
        <v>151</v>
      </c>
      <c r="J31" s="89"/>
      <c r="K31" s="89"/>
      <c r="L31" s="58">
        <f>IF(OR($C$6="C",LEFT($C$6,1)="S"),1,IF(D31="Nil",1,IF(D31="N/A",2,4)))</f>
        <v>2</v>
      </c>
      <c r="M31" s="57">
        <f t="shared" si="0"/>
        <v>2</v>
      </c>
      <c r="N31" s="57">
        <f t="shared" si="1"/>
        <v>1</v>
      </c>
      <c r="U31" s="57"/>
      <c r="V31" s="57"/>
      <c r="W31" s="57"/>
      <c r="X31" s="57"/>
      <c r="Y31" s="57"/>
      <c r="Z31" s="57"/>
      <c r="AA31" s="57"/>
    </row>
    <row r="32" spans="1:27" x14ac:dyDescent="0.2">
      <c r="A32" s="247"/>
      <c r="B32" s="250" t="s">
        <v>22</v>
      </c>
      <c r="C32" s="60" t="s">
        <v>11</v>
      </c>
      <c r="D32" s="38" t="s">
        <v>241</v>
      </c>
      <c r="E32" s="38" t="s">
        <v>242</v>
      </c>
      <c r="F32" s="61" t="s">
        <v>219</v>
      </c>
      <c r="G32" s="62" t="s">
        <v>216</v>
      </c>
      <c r="H32" s="63"/>
      <c r="I32" s="64" t="s">
        <v>151</v>
      </c>
      <c r="J32" s="89"/>
      <c r="K32" s="89"/>
      <c r="L32" s="58">
        <f>IF(OR($C$6="C"),1,IF(D32="Nil",1,IF(D32="N/A",2,4)))</f>
        <v>4</v>
      </c>
      <c r="M32" s="57">
        <f t="shared" si="0"/>
        <v>4</v>
      </c>
      <c r="N32" s="57">
        <f t="shared" si="1"/>
        <v>1</v>
      </c>
      <c r="U32" s="57"/>
      <c r="V32" s="57"/>
      <c r="W32" s="57"/>
      <c r="X32" s="57"/>
      <c r="Y32" s="57"/>
      <c r="Z32" s="57"/>
      <c r="AA32" s="57"/>
    </row>
    <row r="33" spans="1:27" ht="25.5" x14ac:dyDescent="0.2">
      <c r="A33" s="247"/>
      <c r="B33" s="185"/>
      <c r="C33" s="60" t="s">
        <v>12</v>
      </c>
      <c r="D33" s="38" t="s">
        <v>217</v>
      </c>
      <c r="E33" s="38" t="s">
        <v>223</v>
      </c>
      <c r="F33" s="61"/>
      <c r="G33" s="62"/>
      <c r="H33" s="63"/>
      <c r="I33" s="64" t="s">
        <v>151</v>
      </c>
      <c r="J33" s="89"/>
      <c r="K33" s="89"/>
      <c r="L33" s="58">
        <f>IF(OR($C$6="C",LEFT($C$6,1)="S"),1,IF(D33="Nil",1,IF(D33="N/A",2,4)))</f>
        <v>1</v>
      </c>
      <c r="M33" s="57">
        <f t="shared" si="0"/>
        <v>1</v>
      </c>
      <c r="N33" s="57">
        <f t="shared" si="1"/>
        <v>1</v>
      </c>
      <c r="U33" s="57"/>
      <c r="V33" s="57"/>
      <c r="W33" s="57"/>
      <c r="X33" s="57"/>
      <c r="Y33" s="57"/>
      <c r="Z33" s="57"/>
      <c r="AA33" s="57"/>
    </row>
    <row r="34" spans="1:27" x14ac:dyDescent="0.2">
      <c r="A34" s="247"/>
      <c r="B34" s="188" t="s">
        <v>23</v>
      </c>
      <c r="C34" s="60" t="s">
        <v>24</v>
      </c>
      <c r="D34" s="38" t="s">
        <v>219</v>
      </c>
      <c r="E34" s="38" t="s">
        <v>243</v>
      </c>
      <c r="F34" s="61" t="s">
        <v>219</v>
      </c>
      <c r="G34" s="62" t="s">
        <v>216</v>
      </c>
      <c r="H34" s="63"/>
      <c r="I34" s="64" t="s">
        <v>151</v>
      </c>
      <c r="J34" s="89"/>
      <c r="K34" s="89"/>
      <c r="L34" s="58">
        <f t="shared" si="2"/>
        <v>4</v>
      </c>
      <c r="M34" s="57">
        <f t="shared" si="0"/>
        <v>4</v>
      </c>
      <c r="N34" s="57">
        <f t="shared" si="1"/>
        <v>1</v>
      </c>
      <c r="U34" s="57"/>
      <c r="V34" s="57"/>
      <c r="W34" s="57"/>
      <c r="X34" s="57"/>
      <c r="Y34" s="57"/>
      <c r="Z34" s="57"/>
      <c r="AA34" s="57"/>
    </row>
    <row r="35" spans="1:27" x14ac:dyDescent="0.2">
      <c r="A35" s="247"/>
      <c r="B35" s="188"/>
      <c r="C35" s="60" t="s">
        <v>25</v>
      </c>
      <c r="D35" s="38" t="s">
        <v>217</v>
      </c>
      <c r="E35" s="38"/>
      <c r="F35" s="61" t="s">
        <v>219</v>
      </c>
      <c r="G35" s="62" t="s">
        <v>217</v>
      </c>
      <c r="H35" s="63"/>
      <c r="I35" s="64" t="s">
        <v>151</v>
      </c>
      <c r="J35" s="89"/>
      <c r="K35" s="89"/>
      <c r="L35" s="58">
        <f t="shared" si="2"/>
        <v>1</v>
      </c>
      <c r="M35" s="57">
        <f t="shared" si="0"/>
        <v>1</v>
      </c>
      <c r="N35" s="57">
        <f t="shared" si="1"/>
        <v>1</v>
      </c>
      <c r="U35" s="57"/>
      <c r="V35" s="57"/>
      <c r="W35" s="57"/>
      <c r="X35" s="57"/>
      <c r="Y35" s="57"/>
      <c r="Z35" s="57"/>
      <c r="AA35" s="57"/>
    </row>
    <row r="36" spans="1:27" ht="25.5" x14ac:dyDescent="0.2">
      <c r="A36" s="247"/>
      <c r="B36" s="188" t="s">
        <v>26</v>
      </c>
      <c r="C36" s="60" t="s">
        <v>27</v>
      </c>
      <c r="D36" s="38" t="s">
        <v>217</v>
      </c>
      <c r="E36" s="38" t="s">
        <v>226</v>
      </c>
      <c r="F36" s="61" t="s">
        <v>219</v>
      </c>
      <c r="G36" s="62" t="s">
        <v>217</v>
      </c>
      <c r="H36" s="63"/>
      <c r="I36" s="64" t="s">
        <v>151</v>
      </c>
      <c r="J36" s="89"/>
      <c r="K36" s="89"/>
      <c r="L36" s="58">
        <f t="shared" si="2"/>
        <v>1</v>
      </c>
      <c r="M36" s="57">
        <f t="shared" si="0"/>
        <v>1</v>
      </c>
      <c r="N36" s="57">
        <f t="shared" si="1"/>
        <v>1</v>
      </c>
      <c r="U36" s="57"/>
      <c r="V36" s="57"/>
      <c r="W36" s="57"/>
      <c r="X36" s="57"/>
      <c r="Y36" s="57"/>
      <c r="Z36" s="57"/>
      <c r="AA36" s="57"/>
    </row>
    <row r="37" spans="1:27" ht="39" thickBot="1" x14ac:dyDescent="0.25">
      <c r="A37" s="201"/>
      <c r="B37" s="186"/>
      <c r="C37" s="66" t="s">
        <v>28</v>
      </c>
      <c r="D37" s="67" t="s">
        <v>217</v>
      </c>
      <c r="E37" s="67" t="s">
        <v>227</v>
      </c>
      <c r="F37" s="68" t="s">
        <v>219</v>
      </c>
      <c r="G37" s="69" t="s">
        <v>217</v>
      </c>
      <c r="H37" s="70"/>
      <c r="I37" s="71" t="s">
        <v>151</v>
      </c>
      <c r="J37" s="98"/>
      <c r="K37" s="98"/>
      <c r="L37" s="58">
        <f t="shared" si="2"/>
        <v>1</v>
      </c>
      <c r="M37" s="57">
        <f t="shared" si="0"/>
        <v>1</v>
      </c>
      <c r="N37" s="57">
        <f t="shared" si="1"/>
        <v>1</v>
      </c>
      <c r="U37" s="57"/>
      <c r="V37" s="57"/>
      <c r="W37" s="57"/>
      <c r="X37" s="57"/>
      <c r="Y37" s="57"/>
      <c r="Z37" s="57"/>
      <c r="AA37" s="57"/>
    </row>
    <row r="38" spans="1:27" ht="15.75" customHeight="1" x14ac:dyDescent="0.2">
      <c r="A38" s="142" t="s">
        <v>49</v>
      </c>
      <c r="B38" s="142"/>
      <c r="C38" s="142"/>
      <c r="D38" s="142"/>
      <c r="E38" s="142"/>
      <c r="F38" s="142"/>
      <c r="G38" s="142"/>
      <c r="H38" s="128" t="s">
        <v>57</v>
      </c>
      <c r="I38" s="72"/>
      <c r="J38" s="89" t="str">
        <f>"Section completion: " &amp; ROUND(COUNTA(D39:D41,G39:G41)/0.06,0) &amp;"%"</f>
        <v>Section completion: 100%</v>
      </c>
      <c r="K38" s="98"/>
      <c r="U38" s="57"/>
      <c r="V38" s="57"/>
      <c r="W38" s="57"/>
      <c r="X38" s="57"/>
      <c r="Y38" s="57"/>
      <c r="Z38" s="57"/>
      <c r="AA38" s="57"/>
    </row>
    <row r="39" spans="1:27" ht="18.75" customHeight="1" x14ac:dyDescent="0.2">
      <c r="A39" s="143" t="s">
        <v>145</v>
      </c>
      <c r="B39" s="144"/>
      <c r="C39" s="144"/>
      <c r="D39" s="135" t="s">
        <v>244</v>
      </c>
      <c r="E39" s="144" t="s">
        <v>148</v>
      </c>
      <c r="F39" s="144"/>
      <c r="G39" s="137" t="s">
        <v>244</v>
      </c>
      <c r="H39" s="147"/>
      <c r="I39" s="73">
        <f t="array" ref="I39">SUM(IF($D$13:$D$37="NIL",0,1)*IF($F$13:$F$37&lt;&gt;"Yes",1,0)*IF($I$13:$I$37="Functions",1,0)*IF($D$13:$D$37="N/A",0,1))</f>
        <v>0</v>
      </c>
      <c r="J39" s="74">
        <f t="array" ref="J39">SUM(IF($D$13:$D$37="NIL",0,1)*IF($F$13:$F$37&lt;&gt;"Yes",1,0)*IF($I$13:$I$37="Interfaces",1,0)*IF($D$13:$D$37="N/A",0,1))</f>
        <v>0</v>
      </c>
      <c r="K39" s="74"/>
      <c r="U39" s="57"/>
      <c r="V39" s="57"/>
      <c r="W39" s="57"/>
      <c r="X39" s="57"/>
      <c r="Y39" s="57"/>
      <c r="Z39" s="57"/>
      <c r="AA39" s="57"/>
    </row>
    <row r="40" spans="1:27" ht="18.75" customHeight="1" x14ac:dyDescent="0.2">
      <c r="A40" s="143" t="s">
        <v>146</v>
      </c>
      <c r="B40" s="145"/>
      <c r="C40" s="145"/>
      <c r="D40" s="135" t="s">
        <v>217</v>
      </c>
      <c r="E40" s="144" t="s">
        <v>144</v>
      </c>
      <c r="F40" s="145"/>
      <c r="G40" s="137" t="s">
        <v>228</v>
      </c>
      <c r="H40" s="147"/>
      <c r="I40" s="73">
        <f t="array" ref="I40">SUM(IF($D$13:$D$37="NIL",0,1)*IF($F$13:$F$37&lt;&gt;"Yes",1,0)*IF($I$13:$I$37="Noises",1,0)*IF($D$13:$D$37="N/A",0,1))</f>
        <v>0</v>
      </c>
      <c r="J40" s="74">
        <f t="array" ref="J40">SUM(IF($D$13:$D$37="NIL",0,1)*IF($F$13:$F$37&lt;&gt;"Yes",1,0)*IF($I$13:$I$37="Design Parameters",1,0)*IF($D$13:$D$37="N/A",0,1))</f>
        <v>0</v>
      </c>
      <c r="K40" s="74"/>
      <c r="U40" s="57"/>
      <c r="V40" s="57"/>
      <c r="W40" s="57"/>
      <c r="X40" s="57"/>
      <c r="Y40" s="57"/>
      <c r="Z40" s="57"/>
      <c r="AA40" s="57"/>
    </row>
    <row r="41" spans="1:27" ht="18.75" customHeight="1" thickBot="1" x14ac:dyDescent="0.25">
      <c r="A41" s="248" t="s">
        <v>147</v>
      </c>
      <c r="B41" s="249"/>
      <c r="C41" s="249"/>
      <c r="D41" s="136" t="s">
        <v>228</v>
      </c>
      <c r="E41" s="146" t="s">
        <v>127</v>
      </c>
      <c r="F41" s="146"/>
      <c r="G41" s="137" t="s">
        <v>228</v>
      </c>
      <c r="H41" s="148"/>
      <c r="I41" s="73">
        <f t="array" ref="I41">SUM(IF(D19:D21="N/A",0,1)*IF(D19:D21="Nil",0,1))</f>
        <v>0</v>
      </c>
      <c r="J41" s="74"/>
      <c r="K41" s="74"/>
      <c r="U41" s="57"/>
      <c r="V41" s="57"/>
      <c r="W41" s="57"/>
      <c r="X41" s="57"/>
      <c r="Y41" s="57"/>
      <c r="Z41" s="57"/>
      <c r="AA41" s="57"/>
    </row>
    <row r="42" spans="1:27" ht="18.75" customHeight="1" thickBot="1" x14ac:dyDescent="0.25">
      <c r="A42" s="149" t="s">
        <v>180</v>
      </c>
      <c r="B42" s="150"/>
      <c r="C42" s="150"/>
      <c r="D42" s="150"/>
      <c r="E42" s="150"/>
      <c r="F42" s="150"/>
      <c r="G42" s="150"/>
      <c r="H42" s="151"/>
      <c r="I42" s="100"/>
      <c r="J42" s="89" t="str">
        <f>"Section completion: " &amp; J43/I43*100 &amp;"%"</f>
        <v>Section completion: 0%</v>
      </c>
      <c r="K42" s="75"/>
      <c r="U42" s="57"/>
      <c r="V42" s="57"/>
      <c r="W42" s="57"/>
      <c r="X42" s="57"/>
      <c r="Y42" s="57"/>
      <c r="Z42" s="57"/>
      <c r="AA42" s="57"/>
    </row>
    <row r="43" spans="1:27" ht="44.45" customHeight="1" x14ac:dyDescent="0.2">
      <c r="A43" s="156" t="s">
        <v>190</v>
      </c>
      <c r="B43" s="152" t="s">
        <v>203</v>
      </c>
      <c r="C43" s="152"/>
      <c r="D43" s="138"/>
      <c r="E43" s="43" t="s">
        <v>212</v>
      </c>
      <c r="F43" s="61"/>
      <c r="G43" s="158"/>
      <c r="H43" s="159"/>
      <c r="I43" s="101">
        <f>IF(C7="Foundation",3,0)+IF(D44="No",0,1)+IF(F43="No",0,1)</f>
        <v>2</v>
      </c>
      <c r="J43" s="102">
        <f>COUNTA(D43,F43,D44)+IF(AND(F43&lt;&gt;"No",LEN(G43)&gt;19),1,0)+IF(AND(D44&lt;&gt;"No",LEN(E44)&gt;19),1,0)</f>
        <v>0</v>
      </c>
      <c r="K43" s="102"/>
      <c r="U43" s="57"/>
      <c r="V43" s="57"/>
      <c r="W43" s="57"/>
      <c r="X43" s="57"/>
      <c r="Y43" s="57"/>
      <c r="Z43" s="57"/>
      <c r="AA43" s="57"/>
    </row>
    <row r="44" spans="1:27" ht="63.6" customHeight="1" thickBot="1" x14ac:dyDescent="0.25">
      <c r="A44" s="157"/>
      <c r="B44" s="153" t="s">
        <v>191</v>
      </c>
      <c r="C44" s="153"/>
      <c r="D44" s="61"/>
      <c r="E44" s="154"/>
      <c r="F44" s="154"/>
      <c r="G44" s="154"/>
      <c r="H44" s="155"/>
      <c r="I44" s="101"/>
      <c r="J44" s="102"/>
      <c r="K44" s="102"/>
    </row>
    <row r="45" spans="1:27" ht="21" customHeight="1" x14ac:dyDescent="0.2">
      <c r="A45" s="149" t="s">
        <v>39</v>
      </c>
      <c r="B45" s="150"/>
      <c r="C45" s="150"/>
      <c r="D45" s="150"/>
      <c r="E45" s="150"/>
      <c r="F45" s="150"/>
      <c r="G45" s="150"/>
      <c r="H45" s="151"/>
      <c r="I45" s="139" t="s">
        <v>133</v>
      </c>
      <c r="J45" s="140"/>
      <c r="K45" s="141"/>
    </row>
    <row r="46" spans="1:27" ht="12.75" customHeight="1" x14ac:dyDescent="0.2">
      <c r="A46" s="201" t="s">
        <v>40</v>
      </c>
      <c r="B46" s="212" t="s">
        <v>45</v>
      </c>
      <c r="C46" s="212"/>
      <c r="D46" s="44" t="s">
        <v>46</v>
      </c>
      <c r="E46" s="188" t="s">
        <v>90</v>
      </c>
      <c r="F46" s="188"/>
      <c r="G46" s="188"/>
      <c r="H46" s="220"/>
      <c r="I46" s="77" t="s">
        <v>132</v>
      </c>
      <c r="J46" s="78" t="s">
        <v>130</v>
      </c>
      <c r="K46" s="79" t="s">
        <v>131</v>
      </c>
    </row>
    <row r="47" spans="1:27" ht="21" customHeight="1" x14ac:dyDescent="0.2">
      <c r="A47" s="202"/>
      <c r="B47" s="188" t="s">
        <v>136</v>
      </c>
      <c r="C47" s="180"/>
      <c r="D47" s="129" t="str">
        <f>IF(OR(C6="T",C6="C",C6="SI",C6="SC",C6="SJ"),"Not Req.","Yes")</f>
        <v>Yes</v>
      </c>
      <c r="E47" s="221" t="s">
        <v>52</v>
      </c>
      <c r="F47" s="221"/>
      <c r="G47" s="221"/>
      <c r="H47" s="181"/>
      <c r="I47" s="48" t="s">
        <v>37</v>
      </c>
      <c r="J47" s="80" t="str">
        <f>IF(OR(C6="T",C6="C",C6="SI",C6="SC",C6="SJ"),"Not Req.","Yes")</f>
        <v>Yes</v>
      </c>
      <c r="K47" s="81" t="str">
        <f>IF(J47="Yes","The entire " &amp; C4,"")</f>
        <v>The entire Feature</v>
      </c>
    </row>
    <row r="48" spans="1:27" ht="21" customHeight="1" x14ac:dyDescent="0.2">
      <c r="A48" s="202"/>
      <c r="B48" s="188" t="s">
        <v>137</v>
      </c>
      <c r="C48" s="180"/>
      <c r="D48" s="129" t="str">
        <f>IF(OR(C6="T",C6="C"),"Not Req.","Yes")</f>
        <v>Yes</v>
      </c>
      <c r="E48" s="221" t="s">
        <v>53</v>
      </c>
      <c r="F48" s="221"/>
      <c r="G48" s="221"/>
      <c r="H48" s="181"/>
      <c r="I48" s="48" t="s">
        <v>38</v>
      </c>
      <c r="J48" s="80" t="str">
        <f>IF(OR(C6="T",C6="C"),"Not Req.","Yes")</f>
        <v>Yes</v>
      </c>
      <c r="K48" s="82" t="str">
        <f>IF(J48="Yes","Refer to Change Scope Table for guidance","")</f>
        <v>Refer to Change Scope Table for guidance</v>
      </c>
    </row>
    <row r="49" spans="1:13" ht="21" customHeight="1" x14ac:dyDescent="0.2">
      <c r="A49" s="202"/>
      <c r="B49" s="188" t="s">
        <v>138</v>
      </c>
      <c r="C49" s="188"/>
      <c r="D49" s="61" t="s">
        <v>219</v>
      </c>
      <c r="E49" s="213" t="s">
        <v>245</v>
      </c>
      <c r="F49" s="213"/>
      <c r="G49" s="213"/>
      <c r="H49" s="214"/>
      <c r="I49" s="48" t="str">
        <f>IF(COUNTA($D$39:$D$41,$G$39:$G$41)&lt;6,"Risk Summary Incomplete","Interface Analysis")</f>
        <v>Interface Analysis</v>
      </c>
      <c r="J49" s="80" t="str">
        <f>IF(OR('Change Scope Table'!D2="X",'Change Scope Table'!D9="X"),"Yes","")</f>
        <v>Yes</v>
      </c>
      <c r="K49" s="82" t="str">
        <f>IF(J49="Yes","Refer to Change Scope Table for guidance","")</f>
        <v>Refer to Change Scope Table for guidance</v>
      </c>
      <c r="L49" s="58">
        <v>1</v>
      </c>
      <c r="M49" s="57">
        <f>IF(D49&lt;&gt;"",1,0)</f>
        <v>1</v>
      </c>
    </row>
    <row r="50" spans="1:13" ht="21" customHeight="1" x14ac:dyDescent="0.2">
      <c r="A50" s="202"/>
      <c r="B50" s="188" t="s">
        <v>139</v>
      </c>
      <c r="C50" s="180"/>
      <c r="D50" s="130" t="s">
        <v>140</v>
      </c>
      <c r="E50" s="213"/>
      <c r="F50" s="213"/>
      <c r="G50" s="213"/>
      <c r="H50" s="214"/>
      <c r="I50" s="48" t="str">
        <f>IF(COUNTA($D$39:$D$41,$G$39:$G$41)&lt;6,"Risk Summary Incomplete","DFMEA")</f>
        <v>DFMEA</v>
      </c>
      <c r="J50" s="80" t="str">
        <f>IF(C5="Supplier","Yes",IF(OR('Change Scope Table'!D2="X",'Change Scope Table'!D4="X",'Change Scope Table'!D7="X",'Change Scope Table'!D9="X",'Change Scope Table'!D11="X",'Change Scope Table'!D15="X",'Change Scope Table'!D19="X"),"Yes",""))</f>
        <v>Yes</v>
      </c>
      <c r="K50" s="81" t="str">
        <f>IF(J50="Yes","Refer to Change Scope Table for guidance","")</f>
        <v>Refer to Change Scope Table for guidance</v>
      </c>
      <c r="L50" s="58">
        <v>1</v>
      </c>
      <c r="M50" s="57">
        <f t="shared" ref="M50:M53" si="3">IF(D50&lt;&gt;"",1,0)</f>
        <v>1</v>
      </c>
    </row>
    <row r="51" spans="1:13" ht="52.5" customHeight="1" x14ac:dyDescent="0.2">
      <c r="A51" s="202"/>
      <c r="B51" s="193" t="str">
        <f>IF(D50="Update Existing","DFMEA Update Scope" &amp; CHAR(10) &amp; CHAR(10) &amp; "(Specific details of updates to be made to the DFMEA, DO NOT REPEAT THE CHANGE DESCRIPTION)",IF(D50="New","New DFMEA Scope"))</f>
        <v>New DFMEA Scope</v>
      </c>
      <c r="C51" s="194"/>
      <c r="D51" s="190" t="s">
        <v>231</v>
      </c>
      <c r="E51" s="191"/>
      <c r="F51" s="191"/>
      <c r="G51" s="191"/>
      <c r="H51" s="192"/>
      <c r="I51" s="48"/>
      <c r="J51" s="80"/>
      <c r="K51" s="81"/>
      <c r="L51" s="58">
        <f>IF(D50="Not Required",0,1)</f>
        <v>1</v>
      </c>
      <c r="M51" s="57">
        <f t="shared" si="3"/>
        <v>1</v>
      </c>
    </row>
    <row r="52" spans="1:13" ht="42" customHeight="1" x14ac:dyDescent="0.2">
      <c r="A52" s="202"/>
      <c r="B52" s="188" t="s">
        <v>161</v>
      </c>
      <c r="C52" s="188"/>
      <c r="D52" s="61" t="s">
        <v>246</v>
      </c>
      <c r="E52" s="215"/>
      <c r="F52" s="215"/>
      <c r="G52" s="215"/>
      <c r="H52" s="216"/>
      <c r="I52" s="48" t="str">
        <f>IF(COUNTA($D$39:$D$41,$G$39:$G$41)&lt;6,"Risk Summary Incomplete","Robusntess Analysis")</f>
        <v>Robusntess Analysis</v>
      </c>
      <c r="J52" s="80" t="str">
        <f>IF(OR('Change Scope Table'!D11="X",'Change Scope Table'!D15="X",'Change Scope Table'!D4="X"),"Yes","")</f>
        <v>Yes</v>
      </c>
      <c r="K52" s="82" t="str">
        <f>IF(J52="Yes","Refer to Change Scope Table for guidance","")</f>
        <v>Refer to Change Scope Table for guidance</v>
      </c>
      <c r="L52" s="58">
        <f>IF(AND(D52&lt;&gt;"None",D52&lt;&gt;""),2,1)</f>
        <v>2</v>
      </c>
      <c r="M52" s="57">
        <f>IF(AND(D52&lt;&gt;"None",D52&lt;&gt;""),IF(LEN(E52)&gt;20,2,1),IF(D52="",0,1))</f>
        <v>1</v>
      </c>
    </row>
    <row r="53" spans="1:13" ht="21" customHeight="1" thickBot="1" x14ac:dyDescent="0.25">
      <c r="A53" s="202"/>
      <c r="B53" s="219" t="s">
        <v>54</v>
      </c>
      <c r="C53" s="219"/>
      <c r="D53" s="131" t="s">
        <v>229</v>
      </c>
      <c r="E53" s="215"/>
      <c r="F53" s="217"/>
      <c r="G53" s="217"/>
      <c r="H53" s="218"/>
      <c r="I53" s="49" t="str">
        <f>IF(COUNTA($D$39:$D$41,$G$39:$G$41)&lt;6,"Risk Summary Incomplete","SCCAF")</f>
        <v>SCCAF</v>
      </c>
      <c r="J53" s="83" t="str">
        <f>IF(OR('Change Scope Table'!D19="X",'Change Scope Table'!D21="X",'Change Scope Table'!D22="X",'Change Scope Table'!D23="X"),"Yes","")</f>
        <v>Yes</v>
      </c>
      <c r="K53" s="84" t="str">
        <f>IF(J53="Yes","Refer to Change Scope Table for guidance","")</f>
        <v>Refer to Change Scope Table for guidance</v>
      </c>
      <c r="L53" s="58">
        <v>1</v>
      </c>
      <c r="M53" s="57">
        <f t="shared" si="3"/>
        <v>1</v>
      </c>
    </row>
    <row r="54" spans="1:13" ht="21" customHeight="1" x14ac:dyDescent="0.2">
      <c r="A54" s="203"/>
      <c r="B54" s="85" t="s">
        <v>159</v>
      </c>
      <c r="C54" s="86" t="s">
        <v>158</v>
      </c>
      <c r="D54" s="131">
        <v>4</v>
      </c>
      <c r="E54" s="87" t="s">
        <v>157</v>
      </c>
      <c r="F54" s="204" t="s">
        <v>247</v>
      </c>
      <c r="G54" s="205"/>
      <c r="H54" s="206"/>
      <c r="I54" s="88"/>
      <c r="J54" s="89" t="str">
        <f>"Section completion: " &amp; ROUND(SUM(M49:M54)/SUM(L49:L54)*100,0) &amp;"%"</f>
        <v>Section completion: 88%</v>
      </c>
      <c r="K54" s="90"/>
      <c r="L54" s="58">
        <f>IF(D54="None",1,2)</f>
        <v>2</v>
      </c>
      <c r="M54" s="57">
        <f>IF(D54&lt;&gt;"",1,0)+IF(LEN(F54)&gt;4,1,0)</f>
        <v>2</v>
      </c>
    </row>
    <row r="55" spans="1:13" ht="19.5" customHeight="1" x14ac:dyDescent="0.2">
      <c r="A55" s="234" t="s">
        <v>41</v>
      </c>
      <c r="B55" s="197" t="s">
        <v>126</v>
      </c>
      <c r="C55" s="198"/>
      <c r="D55" s="197" t="s">
        <v>42</v>
      </c>
      <c r="E55" s="198"/>
      <c r="F55" s="132" t="s">
        <v>43</v>
      </c>
      <c r="G55" s="226" t="s">
        <v>44</v>
      </c>
      <c r="H55" s="227"/>
      <c r="I55" s="224" t="s">
        <v>149</v>
      </c>
      <c r="J55" s="225"/>
      <c r="K55" s="225"/>
    </row>
    <row r="56" spans="1:13" ht="30.75" customHeight="1" thickBot="1" x14ac:dyDescent="0.25">
      <c r="A56" s="234"/>
      <c r="B56" s="195" t="str">
        <f>D6</f>
        <v>Engineering Manager (LL5+)</v>
      </c>
      <c r="C56" s="196"/>
      <c r="D56" s="232" t="str">
        <f>F6</f>
        <v>Wu Forrest</v>
      </c>
      <c r="E56" s="233"/>
      <c r="F56" s="133">
        <v>44964</v>
      </c>
      <c r="G56" s="228"/>
      <c r="H56" s="229"/>
      <c r="I56" s="224"/>
      <c r="J56" s="225"/>
      <c r="K56" s="225"/>
    </row>
    <row r="57" spans="1:13" ht="30.75" customHeight="1" thickBot="1" x14ac:dyDescent="0.25">
      <c r="A57" s="234"/>
      <c r="B57" s="195" t="str">
        <f>D7</f>
        <v>Quality or DA Supervisor/Manager (LL6+)</v>
      </c>
      <c r="C57" s="196"/>
      <c r="D57" s="232" t="str">
        <f>F7</f>
        <v>Fang Derek</v>
      </c>
      <c r="E57" s="233"/>
      <c r="F57" s="133">
        <v>44958</v>
      </c>
      <c r="G57" s="228"/>
      <c r="H57" s="229"/>
      <c r="I57" s="224"/>
      <c r="J57" s="225"/>
      <c r="K57" s="225"/>
    </row>
    <row r="58" spans="1:13" ht="30.75" customHeight="1" thickBot="1" x14ac:dyDescent="0.25">
      <c r="A58" s="235"/>
      <c r="B58" s="195" t="str">
        <f>D5</f>
        <v>Engineering Supervisor (LL6)</v>
      </c>
      <c r="C58" s="196"/>
      <c r="D58" s="232" t="str">
        <f>F5</f>
        <v>Chen Emma</v>
      </c>
      <c r="E58" s="233"/>
      <c r="F58" s="133">
        <v>44958</v>
      </c>
      <c r="G58" s="228"/>
      <c r="H58" s="229"/>
      <c r="I58" s="224"/>
      <c r="J58" s="225"/>
      <c r="K58" s="225"/>
    </row>
    <row r="59" spans="1:13" ht="30.75" customHeight="1" thickBot="1" x14ac:dyDescent="0.25">
      <c r="A59" s="236"/>
      <c r="B59" s="230" t="str">
        <f>D4</f>
        <v>Feature Engineer</v>
      </c>
      <c r="C59" s="231"/>
      <c r="D59" s="199" t="str">
        <f>F4</f>
        <v>Geng Dekang</v>
      </c>
      <c r="E59" s="200"/>
      <c r="F59" s="133">
        <v>44956</v>
      </c>
      <c r="G59" s="243"/>
      <c r="H59" s="244"/>
      <c r="I59" s="224"/>
      <c r="J59" s="225"/>
      <c r="K59" s="225"/>
    </row>
    <row r="60" spans="1:13" ht="30.75" customHeight="1" thickBot="1" x14ac:dyDescent="0.25">
      <c r="A60" s="240" t="str">
        <f>IF(I60&lt;100,"ANALYSIS INCOMPLETE","")</f>
        <v>ANALYSIS INCOMPLETE</v>
      </c>
      <c r="B60" s="241"/>
      <c r="C60" s="241"/>
      <c r="D60" s="241"/>
      <c r="E60" s="241"/>
      <c r="F60" s="241"/>
      <c r="G60" s="241"/>
      <c r="H60" s="242"/>
      <c r="I60" s="91">
        <f>IF(AND(C7="Foundation",C5="Ford"),ROUND((COUNTA(C2:C10,F2:H8,F1,H1)/0.18+SUM(N13:N37)/0.25+COUNTA(D39:D41,G39:G41)/0.06+J43/I43*100+ SUM(M49:M54)/SUM(L49:L54)*100)/5,0),ROUND((COUNTA(C2:C10,F2:H8,F1,H1)/0.18+SUM(N13:N37)/0.25+COUNTA(D39:D41,G39:G41)/0.06+ SUM(M49:M54)/SUM(L49:L54)*100)/4,0))</f>
        <v>97</v>
      </c>
      <c r="J60" s="92"/>
      <c r="K60" s="93"/>
    </row>
    <row r="61" spans="1:13" ht="20.100000000000001" customHeight="1" x14ac:dyDescent="0.2">
      <c r="A61" s="222" t="s">
        <v>162</v>
      </c>
      <c r="B61" s="222"/>
      <c r="C61" s="222"/>
      <c r="D61" s="222"/>
      <c r="E61" s="222"/>
      <c r="F61" s="222"/>
      <c r="G61" s="222"/>
      <c r="H61" s="222"/>
    </row>
    <row r="62" spans="1:13" ht="17.100000000000001" customHeight="1" x14ac:dyDescent="0.2">
      <c r="A62" s="237" t="s">
        <v>207</v>
      </c>
      <c r="B62" s="237"/>
      <c r="C62" s="237"/>
      <c r="D62" s="237"/>
      <c r="E62" s="237"/>
      <c r="F62" s="237"/>
      <c r="G62" s="237"/>
      <c r="H62" s="237"/>
    </row>
    <row r="63" spans="1:13" ht="28.5" customHeight="1" x14ac:dyDescent="0.2">
      <c r="A63" s="178" t="s">
        <v>128</v>
      </c>
      <c r="B63" s="178"/>
      <c r="C63" s="178"/>
      <c r="D63" s="178"/>
      <c r="E63" s="178"/>
      <c r="F63" s="178"/>
      <c r="G63" s="178"/>
      <c r="H63" s="178"/>
    </row>
  </sheetData>
  <sheetProtection algorithmName="SHA-512" hashValue="Z0yBC7ZUhwBAMORKSxXB/EMLyhCVYKazG6OClJfoiz9tLCS3T4zli5gCQmUHtBMdO3KrygXmUWd6ISaZhk1aRg==" saltValue="1lLj0MLlV7uqYa3zvNeW/A==" spinCount="100000" sheet="1" objects="1" scenarios="1"/>
  <mergeCells count="94">
    <mergeCell ref="A62:H62"/>
    <mergeCell ref="A1:C1"/>
    <mergeCell ref="A60:H60"/>
    <mergeCell ref="G59:H59"/>
    <mergeCell ref="B27:B30"/>
    <mergeCell ref="A12:C12"/>
    <mergeCell ref="A13:A21"/>
    <mergeCell ref="A22:A30"/>
    <mergeCell ref="A41:C41"/>
    <mergeCell ref="B47:C47"/>
    <mergeCell ref="B48:C48"/>
    <mergeCell ref="B50:C50"/>
    <mergeCell ref="B49:C49"/>
    <mergeCell ref="A31:A37"/>
    <mergeCell ref="B32:B33"/>
    <mergeCell ref="B34:B35"/>
    <mergeCell ref="A61:H61"/>
    <mergeCell ref="I2:I10"/>
    <mergeCell ref="I55:K59"/>
    <mergeCell ref="A3:B3"/>
    <mergeCell ref="D55:E55"/>
    <mergeCell ref="G55:H55"/>
    <mergeCell ref="G56:H56"/>
    <mergeCell ref="G57:H57"/>
    <mergeCell ref="G58:H58"/>
    <mergeCell ref="B57:C57"/>
    <mergeCell ref="B58:C58"/>
    <mergeCell ref="B59:C59"/>
    <mergeCell ref="D56:E56"/>
    <mergeCell ref="D57:E57"/>
    <mergeCell ref="D58:E58"/>
    <mergeCell ref="A55:A59"/>
    <mergeCell ref="B46:C46"/>
    <mergeCell ref="E50:H50"/>
    <mergeCell ref="E52:H52"/>
    <mergeCell ref="E53:H53"/>
    <mergeCell ref="B53:C53"/>
    <mergeCell ref="E46:H46"/>
    <mergeCell ref="E47:H47"/>
    <mergeCell ref="E48:H48"/>
    <mergeCell ref="E49:H49"/>
    <mergeCell ref="A46:A54"/>
    <mergeCell ref="F54:H54"/>
    <mergeCell ref="F2:H2"/>
    <mergeCell ref="F3:H3"/>
    <mergeCell ref="F4:H4"/>
    <mergeCell ref="F5:H5"/>
    <mergeCell ref="F6:H6"/>
    <mergeCell ref="A2:B2"/>
    <mergeCell ref="D2:E2"/>
    <mergeCell ref="A4:B4"/>
    <mergeCell ref="A5:B5"/>
    <mergeCell ref="D3:E3"/>
    <mergeCell ref="D4:E4"/>
    <mergeCell ref="D5:E5"/>
    <mergeCell ref="A6:B6"/>
    <mergeCell ref="A7:B7"/>
    <mergeCell ref="A63:H63"/>
    <mergeCell ref="F7:H7"/>
    <mergeCell ref="C10:H10"/>
    <mergeCell ref="B23:B24"/>
    <mergeCell ref="B25:B26"/>
    <mergeCell ref="B13:B18"/>
    <mergeCell ref="A10:B10"/>
    <mergeCell ref="D7:E7"/>
    <mergeCell ref="D51:H51"/>
    <mergeCell ref="B51:C51"/>
    <mergeCell ref="B56:C56"/>
    <mergeCell ref="B55:C55"/>
    <mergeCell ref="B52:C52"/>
    <mergeCell ref="B19:B21"/>
    <mergeCell ref="D59:E59"/>
    <mergeCell ref="B36:B37"/>
    <mergeCell ref="D6:E6"/>
    <mergeCell ref="A11:H11"/>
    <mergeCell ref="A9:B9"/>
    <mergeCell ref="F8:H9"/>
    <mergeCell ref="A8:B8"/>
    <mergeCell ref="D8:E9"/>
    <mergeCell ref="I45:K45"/>
    <mergeCell ref="A38:G38"/>
    <mergeCell ref="A39:C39"/>
    <mergeCell ref="A40:C40"/>
    <mergeCell ref="E39:F39"/>
    <mergeCell ref="E40:F40"/>
    <mergeCell ref="E41:F41"/>
    <mergeCell ref="H39:H41"/>
    <mergeCell ref="A45:H45"/>
    <mergeCell ref="A42:H42"/>
    <mergeCell ref="B43:C43"/>
    <mergeCell ref="B44:C44"/>
    <mergeCell ref="E44:H44"/>
    <mergeCell ref="A43:A44"/>
    <mergeCell ref="G43:H43"/>
  </mergeCells>
  <phoneticPr fontId="34" type="noConversion"/>
  <conditionalFormatting sqref="D49:D50 D52:D54 D39:D41 G39:G41 F1 H1 D43:D44 F43 C2:H10 D13:G37">
    <cfRule type="cellIs" dxfId="52" priority="64" operator="equal">
      <formula>""</formula>
    </cfRule>
  </conditionalFormatting>
  <conditionalFormatting sqref="C10">
    <cfRule type="cellIs" dxfId="51" priority="60" operator="equal">
      <formula>""</formula>
    </cfRule>
  </conditionalFormatting>
  <conditionalFormatting sqref="G13:G37 D13:D37">
    <cfRule type="cellIs" dxfId="50" priority="54" operator="equal">
      <formula>"Major"</formula>
    </cfRule>
  </conditionalFormatting>
  <conditionalFormatting sqref="F13:F37">
    <cfRule type="cellIs" dxfId="49" priority="53" operator="equal">
      <formula>"No"</formula>
    </cfRule>
  </conditionalFormatting>
  <conditionalFormatting sqref="F13:G37">
    <cfRule type="expression" dxfId="48" priority="49">
      <formula>IF(OR($D13="N/A",$D13="Nil"),TRUE,FALSE)</formula>
    </cfRule>
  </conditionalFormatting>
  <conditionalFormatting sqref="C13:G18">
    <cfRule type="expression" dxfId="47" priority="47">
      <formula>IF(OR($C$6="C",$C$6="T"),TRUE,FALSE)</formula>
    </cfRule>
  </conditionalFormatting>
  <conditionalFormatting sqref="C13:G13 C30:G31 C15:G19 C21:G22 C24:G24 C33:G33">
    <cfRule type="expression" dxfId="46" priority="46">
      <formula>IF(OR($C$6="SJ",$C$6="SI",$C$6="SC"),TRUE,FALSE)</formula>
    </cfRule>
  </conditionalFormatting>
  <conditionalFormatting sqref="E13:E37">
    <cfRule type="expression" dxfId="45" priority="45">
      <formula>IF($D13="Nil",TRUE,FALSE)</formula>
    </cfRule>
  </conditionalFormatting>
  <conditionalFormatting sqref="C31:G33">
    <cfRule type="expression" dxfId="44" priority="44">
      <formula>IF($C$6="C",TRUE,FALSE)</formula>
    </cfRule>
  </conditionalFormatting>
  <conditionalFormatting sqref="D27 D34">
    <cfRule type="cellIs" dxfId="43" priority="43" operator="equal">
      <formula>"Yes"</formula>
    </cfRule>
  </conditionalFormatting>
  <conditionalFormatting sqref="E50:H50">
    <cfRule type="expression" dxfId="42" priority="41">
      <formula>IF($D$50="Not Required",FALSE,TRUE)</formula>
    </cfRule>
  </conditionalFormatting>
  <conditionalFormatting sqref="G40">
    <cfRule type="expression" dxfId="41" priority="28">
      <formula>IF(AND($G$40="Yes",$J$40=0),TRUE,FALSE)</formula>
    </cfRule>
    <cfRule type="expression" dxfId="40" priority="40">
      <formula>IF(AND($G$40="No",$J$40&gt;0),TRUE,FALSE)</formula>
    </cfRule>
  </conditionalFormatting>
  <conditionalFormatting sqref="D41 D43">
    <cfRule type="expression" dxfId="39" priority="27">
      <formula>IF(AND(D41="Yes",I41=0),TRUE,FALSE)</formula>
    </cfRule>
    <cfRule type="expression" dxfId="38" priority="39">
      <formula>IF(AND(D41="No",I41&gt;0),TRUE,FALSE)</formula>
    </cfRule>
  </conditionalFormatting>
  <conditionalFormatting sqref="G39">
    <cfRule type="expression" dxfId="37" priority="29">
      <formula>IF(AND(OR(G39="New",G39="Changed"),J39=0),TRUE,FALSE)</formula>
    </cfRule>
    <cfRule type="expression" dxfId="36" priority="38">
      <formula>IF(AND($G$39="Nil",$J$39&gt;0),TRUE,FALSE)</formula>
    </cfRule>
  </conditionalFormatting>
  <conditionalFormatting sqref="D39:D40">
    <cfRule type="expression" dxfId="35" priority="30">
      <formula>IF(AND(OR(D39="New",D39="Changed"),I39=0),TRUE,FALSE)</formula>
    </cfRule>
    <cfRule type="expression" dxfId="34" priority="36">
      <formula>IF(AND(D39="Nil",I39&gt;0),TRUE,FALSE)</formula>
    </cfRule>
  </conditionalFormatting>
  <conditionalFormatting sqref="D51">
    <cfRule type="expression" dxfId="33" priority="35">
      <formula>IF(AND(OR($D$50="Update Existing",$D$50="New"),LEN($D$51)&lt;20),TRUE,FALSE)</formula>
    </cfRule>
    <cfRule type="expression" dxfId="32" priority="55">
      <formula>IF(AND(OR($D$50="Update Existing",$D$50="New"),LEN($D$51)&gt;20),TRUE,FALSE)</formula>
    </cfRule>
  </conditionalFormatting>
  <conditionalFormatting sqref="A60:H60">
    <cfRule type="expression" dxfId="31" priority="34">
      <formula>IF($I$60=100,TRUE,FALSE)</formula>
    </cfRule>
  </conditionalFormatting>
  <conditionalFormatting sqref="B51:C51">
    <cfRule type="expression" dxfId="30" priority="31">
      <formula>IF(OR($D$50="Update Existing",$D$50="New"),TRUE,FALSE)</formula>
    </cfRule>
  </conditionalFormatting>
  <conditionalFormatting sqref="E52:H52">
    <cfRule type="expression" dxfId="29" priority="24">
      <formula>AND($D$52&lt;&gt;"",$D$52&lt;&gt;"None", LEN($E$52)&lt;20)</formula>
    </cfRule>
    <cfRule type="expression" dxfId="28" priority="25">
      <formula>IF(OR($D$52="",$D$52="None"),TRUE,FALSE)</formula>
    </cfRule>
  </conditionalFormatting>
  <conditionalFormatting sqref="F43">
    <cfRule type="expression" dxfId="27" priority="19">
      <formula>AND($D$43&lt;0.7,$F$43="No")</formula>
    </cfRule>
    <cfRule type="cellIs" dxfId="26" priority="21" operator="equal">
      <formula>""</formula>
    </cfRule>
  </conditionalFormatting>
  <conditionalFormatting sqref="D44">
    <cfRule type="cellIs" dxfId="25" priority="20" operator="equal">
      <formula>""</formula>
    </cfRule>
  </conditionalFormatting>
  <conditionalFormatting sqref="A42:H44">
    <cfRule type="expression" dxfId="24" priority="14" stopIfTrue="1">
      <formula>OR($C$7&lt;&gt;"Foundation",$C$5&lt;&gt;"Ford")</formula>
    </cfRule>
  </conditionalFormatting>
  <conditionalFormatting sqref="G43:H43">
    <cfRule type="expression" dxfId="23" priority="18">
      <formula>AND($C$7="Foundation",$F$43="Yes",LEN($G$43)&lt;20)</formula>
    </cfRule>
  </conditionalFormatting>
  <conditionalFormatting sqref="E44:H44">
    <cfRule type="expression" dxfId="22" priority="17">
      <formula>AND($D$44="Yes",LEN($E$44)&lt;20)</formula>
    </cfRule>
  </conditionalFormatting>
  <conditionalFormatting sqref="F54">
    <cfRule type="expression" dxfId="21" priority="16">
      <formula>LEN($F$54)&lt;5</formula>
    </cfRule>
  </conditionalFormatting>
  <conditionalFormatting sqref="J42">
    <cfRule type="expression" dxfId="20" priority="13">
      <formula>$C$7&lt;&gt;"Foundation"</formula>
    </cfRule>
  </conditionalFormatting>
  <conditionalFormatting sqref="E19">
    <cfRule type="expression" dxfId="19" priority="12">
      <formula>IF(OR($C$6="C",$C$6="T"),TRUE,FALSE)</formula>
    </cfRule>
  </conditionalFormatting>
  <conditionalFormatting sqref="E20">
    <cfRule type="expression" dxfId="18" priority="11">
      <formula>IF(OR($C$6="C",$C$6="T"),TRUE,FALSE)</formula>
    </cfRule>
  </conditionalFormatting>
  <conditionalFormatting sqref="E20">
    <cfRule type="expression" dxfId="17" priority="10">
      <formula>IF(OR($C$6="SJ",$C$6="SI",$C$6="SC"),TRUE,FALSE)</formula>
    </cfRule>
  </conditionalFormatting>
  <conditionalFormatting sqref="E21">
    <cfRule type="expression" dxfId="16" priority="9">
      <formula>IF(OR($C$6="C",$C$6="T"),TRUE,FALSE)</formula>
    </cfRule>
  </conditionalFormatting>
  <conditionalFormatting sqref="E22">
    <cfRule type="expression" dxfId="15" priority="8">
      <formula>IF(OR($C$6="C",$C$6="T"),TRUE,FALSE)</formula>
    </cfRule>
  </conditionalFormatting>
  <conditionalFormatting sqref="E24">
    <cfRule type="expression" dxfId="14" priority="7">
      <formula>IF(OR($C$6="C",$C$6="T"),TRUE,FALSE)</formula>
    </cfRule>
  </conditionalFormatting>
  <conditionalFormatting sqref="E26">
    <cfRule type="expression" dxfId="13" priority="6">
      <formula>IF(OR($C$6="SJ",$C$6="SI",$C$6="SC"),TRUE,FALSE)</formula>
    </cfRule>
  </conditionalFormatting>
  <conditionalFormatting sqref="E26">
    <cfRule type="expression" dxfId="12" priority="5">
      <formula>IF(OR($C$6="C",$C$6="T"),TRUE,FALSE)</formula>
    </cfRule>
  </conditionalFormatting>
  <conditionalFormatting sqref="E31">
    <cfRule type="expression" dxfId="11" priority="4">
      <formula>IF(OR($C$6="SJ",$C$6="SI",$C$6="SC"),TRUE,FALSE)</formula>
    </cfRule>
  </conditionalFormatting>
  <conditionalFormatting sqref="E31">
    <cfRule type="expression" dxfId="10" priority="3">
      <formula>IF(OR($C$6="C",$C$6="T"),TRUE,FALSE)</formula>
    </cfRule>
  </conditionalFormatting>
  <conditionalFormatting sqref="E33">
    <cfRule type="expression" dxfId="9" priority="2">
      <formula>IF(OR($C$6="SJ",$C$6="SI",$C$6="SC"),TRUE,FALSE)</formula>
    </cfRule>
  </conditionalFormatting>
  <conditionalFormatting sqref="E33">
    <cfRule type="expression" dxfId="8" priority="1">
      <formula>IF(OR($C$6="C",$C$6="T"),TRUE,FALSE)</formula>
    </cfRule>
  </conditionalFormatting>
  <dataValidations count="19">
    <dataValidation type="list" allowBlank="1" showInputMessage="1" showErrorMessage="1" sqref="D13:D24" xr:uid="{00000000-0002-0000-0000-000000000000}">
      <formula1>"Major, Minor, Minimal, Nil, N/A"</formula1>
    </dataValidation>
    <dataValidation type="list" allowBlank="1" showInputMessage="1" showErrorMessage="1" sqref="C4" xr:uid="{00000000-0002-0000-0000-000002000000}">
      <formula1>"Feature, System, Sub-System, Component"</formula1>
    </dataValidation>
    <dataValidation type="list" allowBlank="1" showInputMessage="1" showErrorMessage="1" sqref="C7" xr:uid="{00000000-0002-0000-0000-000003000000}">
      <formula1>"Foundation, Surrogate, None"</formula1>
    </dataValidation>
    <dataValidation type="list" allowBlank="1" showInputMessage="1" showErrorMessage="1" sqref="C6" xr:uid="{00000000-0002-0000-0000-000004000000}">
      <formula1>"MI,MJ,N,N-Tech, T, SJ, SI, SC, C"</formula1>
    </dataValidation>
    <dataValidation type="list" allowBlank="1" showInputMessage="1" showErrorMessage="1" sqref="C5" xr:uid="{00000000-0002-0000-0000-000005000000}">
      <formula1>"Ford, Supplier"</formula1>
    </dataValidation>
    <dataValidation type="list" allowBlank="1" showInputMessage="1" showErrorMessage="1" sqref="D49 D44 F13:F37 G40:G41 D41 F43" xr:uid="{00000000-0002-0000-0000-000006000000}">
      <formula1>"Yes, No"</formula1>
    </dataValidation>
    <dataValidation type="list" allowBlank="1" showInputMessage="1" showErrorMessage="1" sqref="G13:G37" xr:uid="{00000000-0002-0000-0000-000007000000}">
      <formula1>"Major, Minor, Nil"</formula1>
    </dataValidation>
    <dataValidation type="list" allowBlank="1" showInputMessage="1" showErrorMessage="1" sqref="D50" xr:uid="{00000000-0002-0000-0000-000008000000}">
      <formula1>$K$2:$K$4</formula1>
    </dataValidation>
    <dataValidation type="list" allowBlank="1" showInputMessage="1" showErrorMessage="1" sqref="D35:D37 D25:D26 D28:D33" xr:uid="{00000000-0002-0000-0000-000009000000}">
      <formula1>"Major, Minor, Minimal, Nil"</formula1>
    </dataValidation>
    <dataValidation type="list" allowBlank="1" showInputMessage="1" showErrorMessage="1" sqref="G39 D39:D40" xr:uid="{00000000-0002-0000-0000-00000A000000}">
      <formula1>"Nil, New, Changed"</formula1>
    </dataValidation>
    <dataValidation type="list" allowBlank="1" showInputMessage="1" showErrorMessage="1" sqref="D53" xr:uid="{00000000-0002-0000-0000-00000B000000}">
      <formula1>"None, Int Only, Ext Only, Int &amp; Ext"</formula1>
    </dataValidation>
    <dataValidation type="list" allowBlank="1" showInputMessage="1" showErrorMessage="1" sqref="D27 D34" xr:uid="{00000000-0002-0000-0000-00000C000000}">
      <formula1>"Yes, Nil"</formula1>
    </dataValidation>
    <dataValidation type="decimal" allowBlank="1" showInputMessage="1" showErrorMessage="1" sqref="C3" xr:uid="{00000000-0002-0000-0000-00000D000000}">
      <formula1>2018</formula1>
      <formula2>2040</formula2>
    </dataValidation>
    <dataValidation type="list" allowBlank="1" showInputMessage="1" showErrorMessage="1" sqref="D54" xr:uid="{A96F7BF4-2E03-4046-83A5-45766CF33A04}">
      <formula1>"1, 2, 3, 4, None"</formula1>
    </dataValidation>
    <dataValidation type="list" allowBlank="1" showInputMessage="1" showErrorMessage="1" sqref="D52" xr:uid="{1DB4ADFE-BFD8-4EC0-9D37-251BEC97F635}">
      <formula1>"P-Diagram Only, P-Diagram and RCL, P-Diagram RCL &amp; RDM, None"</formula1>
    </dataValidation>
    <dataValidation type="list" allowBlank="1" showInputMessage="1" showErrorMessage="1" sqref="F3:H3" xr:uid="{30834F20-9DF5-46AB-924E-62ACB384900E}">
      <formula1>$R$1:$R$17</formula1>
    </dataValidation>
    <dataValidation type="list" allowBlank="1" showInputMessage="1" showErrorMessage="1" sqref="C9" xr:uid="{E4038886-A7C0-433F-8213-75886A2BC04C}">
      <formula1>"Module, Prior Design, Other Surrogate"</formula1>
    </dataValidation>
    <dataValidation type="decimal" allowBlank="1" showInputMessage="1" showErrorMessage="1" sqref="C8 D43" xr:uid="{7CD60F38-73C1-496E-80D1-3A0C09A76E55}">
      <formula1>0</formula1>
      <formula2>1</formula2>
    </dataValidation>
    <dataValidation type="date" allowBlank="1" showInputMessage="1" showErrorMessage="1" errorTitle="Really?" error="Should be the revision date, normally today. Must be within the last 10 days and not future dated." sqref="H1" xr:uid="{084378D6-D2F4-4608-B036-27BB3B38BAF6}">
      <formula1>NOW()-10</formula1>
      <formula2>NOW()+1</formula2>
    </dataValidation>
  </dataValidations>
  <hyperlinks>
    <hyperlink ref="K49" location="ChangeScopeTable" display="ChangeScopeTable" xr:uid="{00000000-0004-0000-0000-000001000000}"/>
    <hyperlink ref="K52" location="ChangeScopeTable" display="ChangeScopeTable" xr:uid="{00000000-0004-0000-0000-000002000000}"/>
    <hyperlink ref="K53" location="ChangeScopeTable" display="ChangeScopeTable" xr:uid="{00000000-0004-0000-0000-000003000000}"/>
    <hyperlink ref="E41:F41" location="QH_Footnote" display="Quality History Concerns*" xr:uid="{00000000-0004-0000-0000-000004000000}"/>
    <hyperlink ref="K48" location="ChangeScopeTable" display="ChangeScopeTable" xr:uid="{54AC1C60-5017-48E7-8551-8F8460364079}"/>
  </hyperlinks>
  <printOptions horizontalCentered="1"/>
  <pageMargins left="0.23622047244094491" right="0.23622047244094491" top="0.55118110236220474" bottom="0.74803149606299213" header="0.31496062992125984" footer="0.31496062992125984"/>
  <pageSetup paperSize="9" scale="62" orientation="portrait" r:id="rId1"/>
  <headerFooter>
    <oddHeader>&amp;C&amp;"Arial,Bold Italic"&amp;16FMA Change Point Analysis @ V0 Start</oddHeader>
    <oddFooter>&amp;LFord Motor Company Proprietary
&amp;7File: &amp;F
Path: &amp;Z
GIS1 27.60, GIS 2 Confidential&amp;RPage &amp;P of &amp;N
&amp;D
&amp;8Template Version 1.1 Effective 9th Sep 2019</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2C6EB-7D59-41AE-A133-2913BB19271A}">
  <sheetPr codeName="Sheet5"/>
  <dimension ref="A1:J27"/>
  <sheetViews>
    <sheetView showGridLines="0" zoomScale="80" zoomScaleNormal="80" workbookViewId="0">
      <selection activeCell="C24" sqref="C24:F24"/>
    </sheetView>
  </sheetViews>
  <sheetFormatPr defaultRowHeight="12.75" x14ac:dyDescent="0.2"/>
  <cols>
    <col min="1" max="1" width="31.7109375" customWidth="1"/>
    <col min="2" max="2" width="10.85546875" style="50" customWidth="1"/>
    <col min="3" max="3" width="36" customWidth="1"/>
    <col min="5" max="5" width="10.7109375" customWidth="1"/>
    <col min="7" max="7" width="21.42578125" customWidth="1"/>
    <col min="8" max="8" width="10.85546875" style="54" customWidth="1"/>
    <col min="9" max="9" width="12.7109375" customWidth="1"/>
    <col min="10" max="10" width="22.85546875" customWidth="1"/>
  </cols>
  <sheetData>
    <row r="1" spans="1:10" ht="25.35" customHeight="1" x14ac:dyDescent="0.2">
      <c r="A1" s="276" t="s">
        <v>204</v>
      </c>
      <c r="B1" s="277"/>
      <c r="C1" s="277"/>
      <c r="D1" s="277"/>
      <c r="E1" s="277"/>
      <c r="F1" s="277"/>
      <c r="G1" s="277"/>
      <c r="H1" s="277"/>
      <c r="I1" s="277"/>
      <c r="J1" s="278"/>
    </row>
    <row r="2" spans="1:10" ht="15.6" customHeight="1" x14ac:dyDescent="0.2">
      <c r="A2" s="273" t="s">
        <v>183</v>
      </c>
      <c r="B2" s="274"/>
      <c r="C2" s="274"/>
      <c r="D2" s="274"/>
      <c r="E2" s="274"/>
      <c r="F2" s="274"/>
      <c r="G2" s="274"/>
      <c r="H2" s="274"/>
      <c r="I2" s="274"/>
      <c r="J2" s="275"/>
    </row>
    <row r="3" spans="1:10" ht="27.6" customHeight="1" thickBot="1" x14ac:dyDescent="0.25">
      <c r="A3" s="272" t="str">
        <f>'Change Point Analysis'!C3 &amp; " " &amp; 'Change Point Analysis'!C2 &amp; " " &amp; 'Change Point Analysis'!F2</f>
        <v>2024 CX821 场景卡片 Mode Card</v>
      </c>
      <c r="B3" s="267"/>
      <c r="C3" s="267"/>
      <c r="D3" s="267"/>
      <c r="E3" s="267"/>
      <c r="F3" s="267"/>
      <c r="G3" s="267"/>
      <c r="H3" s="267"/>
      <c r="I3" s="267"/>
      <c r="J3" s="268"/>
    </row>
    <row r="4" spans="1:10" ht="21" customHeight="1" x14ac:dyDescent="0.2">
      <c r="A4" s="260" t="s">
        <v>181</v>
      </c>
      <c r="B4" s="261"/>
      <c r="C4" s="261"/>
      <c r="D4" s="261"/>
      <c r="E4" s="261"/>
      <c r="F4" s="261"/>
      <c r="G4" s="261"/>
      <c r="H4" s="261"/>
      <c r="I4" s="261"/>
      <c r="J4" s="262"/>
    </row>
    <row r="5" spans="1:10" ht="34.35" customHeight="1" x14ac:dyDescent="0.2">
      <c r="A5" s="52" t="s">
        <v>132</v>
      </c>
      <c r="B5" s="51" t="s">
        <v>189</v>
      </c>
      <c r="C5" s="279" t="s">
        <v>184</v>
      </c>
      <c r="D5" s="280"/>
      <c r="E5" s="280"/>
      <c r="F5" s="280"/>
      <c r="G5" s="280"/>
      <c r="H5" s="280"/>
      <c r="I5" s="281"/>
      <c r="J5" s="118" t="s">
        <v>205</v>
      </c>
    </row>
    <row r="6" spans="1:10" ht="40.5" customHeight="1" x14ac:dyDescent="0.2">
      <c r="A6" s="48" t="s">
        <v>192</v>
      </c>
      <c r="B6" s="103"/>
      <c r="C6" s="282"/>
      <c r="D6" s="283"/>
      <c r="E6" s="283"/>
      <c r="F6" s="283"/>
      <c r="G6" s="283"/>
      <c r="H6" s="283"/>
      <c r="I6" s="284"/>
      <c r="J6" s="119"/>
    </row>
    <row r="7" spans="1:10" ht="40.5" customHeight="1" x14ac:dyDescent="0.2">
      <c r="A7" s="48" t="s">
        <v>193</v>
      </c>
      <c r="B7" s="103"/>
      <c r="C7" s="282"/>
      <c r="D7" s="283"/>
      <c r="E7" s="283"/>
      <c r="F7" s="283"/>
      <c r="G7" s="283"/>
      <c r="H7" s="283"/>
      <c r="I7" s="284"/>
      <c r="J7" s="119"/>
    </row>
    <row r="8" spans="1:10" ht="40.5" customHeight="1" x14ac:dyDescent="0.2">
      <c r="A8" s="95" t="s">
        <v>197</v>
      </c>
      <c r="B8" s="103"/>
      <c r="C8" s="282"/>
      <c r="D8" s="283"/>
      <c r="E8" s="283"/>
      <c r="F8" s="283"/>
      <c r="G8" s="283"/>
      <c r="H8" s="283"/>
      <c r="I8" s="284"/>
      <c r="J8" s="119"/>
    </row>
    <row r="9" spans="1:10" ht="40.5" customHeight="1" x14ac:dyDescent="0.2">
      <c r="A9" s="48" t="s">
        <v>194</v>
      </c>
      <c r="B9" s="103"/>
      <c r="C9" s="282"/>
      <c r="D9" s="283"/>
      <c r="E9" s="283"/>
      <c r="F9" s="283"/>
      <c r="G9" s="283"/>
      <c r="H9" s="283"/>
      <c r="I9" s="284"/>
      <c r="J9" s="119"/>
    </row>
    <row r="10" spans="1:10" ht="40.5" customHeight="1" x14ac:dyDescent="0.2">
      <c r="A10" s="48" t="s">
        <v>195</v>
      </c>
      <c r="B10" s="103"/>
      <c r="C10" s="282"/>
      <c r="D10" s="283"/>
      <c r="E10" s="283"/>
      <c r="F10" s="283"/>
      <c r="G10" s="283"/>
      <c r="H10" s="283"/>
      <c r="I10" s="284"/>
      <c r="J10" s="119"/>
    </row>
    <row r="11" spans="1:10" ht="40.5" customHeight="1" thickBot="1" x14ac:dyDescent="0.25">
      <c r="A11" s="49" t="s">
        <v>182</v>
      </c>
      <c r="B11" s="104"/>
      <c r="C11" s="285"/>
      <c r="D11" s="286"/>
      <c r="E11" s="286"/>
      <c r="F11" s="286"/>
      <c r="G11" s="286"/>
      <c r="H11" s="286"/>
      <c r="I11" s="287"/>
      <c r="J11" s="120"/>
    </row>
    <row r="12" spans="1:10" ht="21.95" customHeight="1" x14ac:dyDescent="0.2">
      <c r="A12" s="260" t="s">
        <v>185</v>
      </c>
      <c r="B12" s="261"/>
      <c r="C12" s="261"/>
      <c r="D12" s="261"/>
      <c r="E12" s="261"/>
      <c r="F12" s="261"/>
      <c r="G12" s="261"/>
      <c r="H12" s="261"/>
      <c r="I12" s="261"/>
      <c r="J12" s="262"/>
    </row>
    <row r="13" spans="1:10" ht="36.6" customHeight="1" x14ac:dyDescent="0.2">
      <c r="A13" s="52" t="s">
        <v>132</v>
      </c>
      <c r="B13" s="51" t="s">
        <v>199</v>
      </c>
      <c r="C13" s="251" t="s">
        <v>209</v>
      </c>
      <c r="D13" s="252"/>
      <c r="E13" s="252"/>
      <c r="F13" s="252"/>
      <c r="G13" s="252"/>
      <c r="H13" s="117" t="s">
        <v>198</v>
      </c>
      <c r="I13" s="117" t="s">
        <v>206</v>
      </c>
      <c r="J13" s="125" t="s">
        <v>210</v>
      </c>
    </row>
    <row r="14" spans="1:10" s="53" customFormat="1" ht="40.5" customHeight="1" x14ac:dyDescent="0.2">
      <c r="A14" s="110" t="s">
        <v>192</v>
      </c>
      <c r="B14" s="111"/>
      <c r="C14" s="253"/>
      <c r="D14" s="253"/>
      <c r="E14" s="253"/>
      <c r="F14" s="253"/>
      <c r="G14" s="253"/>
      <c r="H14" s="113"/>
      <c r="I14" s="121"/>
      <c r="J14" s="122"/>
    </row>
    <row r="15" spans="1:10" s="53" customFormat="1" ht="40.5" customHeight="1" x14ac:dyDescent="0.2">
      <c r="A15" s="110" t="s">
        <v>196</v>
      </c>
      <c r="B15" s="111"/>
      <c r="C15" s="253"/>
      <c r="D15" s="253"/>
      <c r="E15" s="253"/>
      <c r="F15" s="253"/>
      <c r="G15" s="253"/>
      <c r="H15" s="113"/>
      <c r="I15" s="121"/>
      <c r="J15" s="122"/>
    </row>
    <row r="16" spans="1:10" s="53" customFormat="1" ht="40.5" customHeight="1" x14ac:dyDescent="0.2">
      <c r="A16" s="112" t="s">
        <v>197</v>
      </c>
      <c r="B16" s="111"/>
      <c r="C16" s="253"/>
      <c r="D16" s="253"/>
      <c r="E16" s="253"/>
      <c r="F16" s="253"/>
      <c r="G16" s="253"/>
      <c r="H16" s="113"/>
      <c r="I16" s="121"/>
      <c r="J16" s="122"/>
    </row>
    <row r="17" spans="1:10" s="53" customFormat="1" ht="40.5" customHeight="1" x14ac:dyDescent="0.2">
      <c r="A17" s="110" t="s">
        <v>194</v>
      </c>
      <c r="B17" s="111"/>
      <c r="C17" s="253"/>
      <c r="D17" s="253"/>
      <c r="E17" s="253"/>
      <c r="F17" s="253"/>
      <c r="G17" s="253"/>
      <c r="H17" s="113"/>
      <c r="I17" s="121"/>
      <c r="J17" s="122"/>
    </row>
    <row r="18" spans="1:10" s="53" customFormat="1" ht="40.5" customHeight="1" x14ac:dyDescent="0.2">
      <c r="A18" s="110" t="s">
        <v>195</v>
      </c>
      <c r="B18" s="111"/>
      <c r="C18" s="253"/>
      <c r="D18" s="253"/>
      <c r="E18" s="253"/>
      <c r="F18" s="253"/>
      <c r="G18" s="253"/>
      <c r="H18" s="113"/>
      <c r="I18" s="121"/>
      <c r="J18" s="122"/>
    </row>
    <row r="19" spans="1:10" s="53" customFormat="1" ht="40.5" customHeight="1" thickBot="1" x14ac:dyDescent="0.25">
      <c r="A19" s="114" t="s">
        <v>182</v>
      </c>
      <c r="B19" s="115"/>
      <c r="C19" s="258"/>
      <c r="D19" s="258"/>
      <c r="E19" s="258"/>
      <c r="F19" s="258"/>
      <c r="G19" s="258"/>
      <c r="H19" s="116"/>
      <c r="I19" s="123"/>
      <c r="J19" s="124"/>
    </row>
    <row r="20" spans="1:10" ht="15.75" x14ac:dyDescent="0.2">
      <c r="A20" s="260" t="s">
        <v>186</v>
      </c>
      <c r="B20" s="261"/>
      <c r="C20" s="261"/>
      <c r="D20" s="261"/>
      <c r="E20" s="261"/>
      <c r="F20" s="261"/>
      <c r="G20" s="261"/>
      <c r="H20" s="261"/>
      <c r="I20" s="261"/>
      <c r="J20" s="262"/>
    </row>
    <row r="21" spans="1:10" ht="22.35" customHeight="1" x14ac:dyDescent="0.2">
      <c r="A21" s="263" t="s">
        <v>126</v>
      </c>
      <c r="B21" s="264"/>
      <c r="C21" s="264" t="s">
        <v>42</v>
      </c>
      <c r="D21" s="264"/>
      <c r="E21" s="264"/>
      <c r="F21" s="264"/>
      <c r="G21" s="109" t="s">
        <v>43</v>
      </c>
      <c r="H21" s="270" t="s">
        <v>44</v>
      </c>
      <c r="I21" s="270"/>
      <c r="J21" s="271"/>
    </row>
    <row r="22" spans="1:10" ht="33.950000000000003" customHeight="1" x14ac:dyDescent="0.2">
      <c r="A22" s="254" t="str">
        <f>"Requesting " &amp; 'Change Point Analysis'!D4</f>
        <v>Requesting Feature Engineer</v>
      </c>
      <c r="B22" s="255"/>
      <c r="C22" s="255" t="str">
        <f>'Change Point Analysis'!F4</f>
        <v>Geng Dekang</v>
      </c>
      <c r="D22" s="255"/>
      <c r="E22" s="255"/>
      <c r="F22" s="255"/>
      <c r="G22" s="126"/>
      <c r="H22" s="265"/>
      <c r="I22" s="265"/>
      <c r="J22" s="266"/>
    </row>
    <row r="23" spans="1:10" ht="33.950000000000003" customHeight="1" x14ac:dyDescent="0.2">
      <c r="A23" s="254" t="str">
        <f>"Requesting " &amp; 'Change Point Analysis'!D5</f>
        <v>Requesting Engineering Supervisor (LL6)</v>
      </c>
      <c r="B23" s="255"/>
      <c r="C23" s="255" t="str">
        <f>'Change Point Analysis'!F5</f>
        <v>Chen Emma</v>
      </c>
      <c r="D23" s="255"/>
      <c r="E23" s="255"/>
      <c r="F23" s="255"/>
      <c r="G23" s="126"/>
      <c r="H23" s="265"/>
      <c r="I23" s="265"/>
      <c r="J23" s="266"/>
    </row>
    <row r="24" spans="1:10" ht="33.950000000000003" customHeight="1" x14ac:dyDescent="0.2">
      <c r="A24" s="254" t="str">
        <f>"Requesting " &amp; 'Change Point Analysis'!D6</f>
        <v>Requesting Engineering Manager (LL5+)</v>
      </c>
      <c r="B24" s="255"/>
      <c r="C24" s="255" t="str">
        <f>'Change Point Analysis'!F6</f>
        <v>Wu Forrest</v>
      </c>
      <c r="D24" s="255"/>
      <c r="E24" s="255"/>
      <c r="F24" s="255"/>
      <c r="G24" s="126"/>
      <c r="H24" s="265"/>
      <c r="I24" s="265"/>
      <c r="J24" s="266"/>
    </row>
    <row r="25" spans="1:10" ht="33.950000000000003" customHeight="1" x14ac:dyDescent="0.2">
      <c r="A25" s="254" t="str">
        <f>"Requesting " &amp; 'Change Point Analysis'!D7</f>
        <v>Requesting Quality or DA Supervisor/Manager (LL6+)</v>
      </c>
      <c r="B25" s="255"/>
      <c r="C25" s="255" t="str">
        <f>'Change Point Analysis'!F7</f>
        <v>Fang Derek</v>
      </c>
      <c r="D25" s="255"/>
      <c r="E25" s="255"/>
      <c r="F25" s="255"/>
      <c r="G25" s="126"/>
      <c r="H25" s="265"/>
      <c r="I25" s="265"/>
      <c r="J25" s="266"/>
    </row>
    <row r="26" spans="1:10" ht="33.950000000000003" customHeight="1" x14ac:dyDescent="0.2">
      <c r="A26" s="254" t="s">
        <v>187</v>
      </c>
      <c r="B26" s="255"/>
      <c r="C26" s="269"/>
      <c r="D26" s="269"/>
      <c r="E26" s="269"/>
      <c r="F26" s="269"/>
      <c r="G26" s="126"/>
      <c r="H26" s="265"/>
      <c r="I26" s="265"/>
      <c r="J26" s="266"/>
    </row>
    <row r="27" spans="1:10" ht="33.950000000000003" customHeight="1" thickBot="1" x14ac:dyDescent="0.25">
      <c r="A27" s="256" t="s">
        <v>188</v>
      </c>
      <c r="B27" s="257"/>
      <c r="C27" s="259"/>
      <c r="D27" s="259"/>
      <c r="E27" s="259"/>
      <c r="F27" s="259"/>
      <c r="G27" s="127"/>
      <c r="H27" s="267"/>
      <c r="I27" s="267"/>
      <c r="J27" s="268"/>
    </row>
  </sheetData>
  <mergeCells count="41">
    <mergeCell ref="A4:J4"/>
    <mergeCell ref="A3:J3"/>
    <mergeCell ref="A2:J2"/>
    <mergeCell ref="A1:J1"/>
    <mergeCell ref="A12:J12"/>
    <mergeCell ref="C5:I5"/>
    <mergeCell ref="C6:I6"/>
    <mergeCell ref="C7:I7"/>
    <mergeCell ref="C8:I8"/>
    <mergeCell ref="C9:I9"/>
    <mergeCell ref="C10:I10"/>
    <mergeCell ref="C11:I11"/>
    <mergeCell ref="H26:J26"/>
    <mergeCell ref="H27:J27"/>
    <mergeCell ref="C26:F26"/>
    <mergeCell ref="C21:F21"/>
    <mergeCell ref="H21:J21"/>
    <mergeCell ref="H22:J22"/>
    <mergeCell ref="H23:J23"/>
    <mergeCell ref="H24:J24"/>
    <mergeCell ref="H25:J25"/>
    <mergeCell ref="C22:F22"/>
    <mergeCell ref="C23:F23"/>
    <mergeCell ref="C24:F24"/>
    <mergeCell ref="C25:F25"/>
    <mergeCell ref="C13:G13"/>
    <mergeCell ref="C14:G14"/>
    <mergeCell ref="C15:G15"/>
    <mergeCell ref="A26:B26"/>
    <mergeCell ref="A27:B27"/>
    <mergeCell ref="A25:B25"/>
    <mergeCell ref="C17:G17"/>
    <mergeCell ref="C16:G16"/>
    <mergeCell ref="C18:G18"/>
    <mergeCell ref="C19:G19"/>
    <mergeCell ref="C27:F27"/>
    <mergeCell ref="A20:J20"/>
    <mergeCell ref="A21:B21"/>
    <mergeCell ref="A22:B22"/>
    <mergeCell ref="A23:B23"/>
    <mergeCell ref="A24:B24"/>
  </mergeCells>
  <phoneticPr fontId="34" type="noConversion"/>
  <conditionalFormatting sqref="B6:B11 B14:B19">
    <cfRule type="expression" dxfId="7" priority="6">
      <formula>B6&lt;&gt;""</formula>
    </cfRule>
  </conditionalFormatting>
  <conditionalFormatting sqref="C6:G11">
    <cfRule type="expression" dxfId="6" priority="5">
      <formula>AND($B6="Yes",LEN(C6)&lt;20)</formula>
    </cfRule>
  </conditionalFormatting>
  <conditionalFormatting sqref="C14:J19 C6:G11 J6:J11">
    <cfRule type="expression" dxfId="5" priority="4">
      <formula>$B6="No"</formula>
    </cfRule>
  </conditionalFormatting>
  <conditionalFormatting sqref="H14:J19 J6:J11">
    <cfRule type="expression" dxfId="4" priority="3">
      <formula>AND($B6="Yes",H6="")</formula>
    </cfRule>
  </conditionalFormatting>
  <conditionalFormatting sqref="C14:G19">
    <cfRule type="expression" dxfId="3" priority="2">
      <formula>AND(OR(AND(B6="Yes",B14="No"),B14="Yes"),LEN(C14)&lt;20)</formula>
    </cfRule>
  </conditionalFormatting>
  <conditionalFormatting sqref="C26:F27">
    <cfRule type="expression" dxfId="2" priority="1">
      <formula>LEN(C26)&lt;5</formula>
    </cfRule>
  </conditionalFormatting>
  <dataValidations count="4">
    <dataValidation type="list" allowBlank="1" showInputMessage="1" showErrorMessage="1" sqref="B6:B11 B14:B19" xr:uid="{21406181-74DF-4569-B658-4555E28308B0}">
      <formula1>"Yes, No"</formula1>
    </dataValidation>
    <dataValidation type="list" allowBlank="1" showInputMessage="1" showErrorMessage="1" sqref="J6:J11 H14:H19" xr:uid="{6331A966-24A6-4FD5-AA2E-255DCCA176E0}">
      <formula1>"V0, V1, V2, DJ"</formula1>
    </dataValidation>
    <dataValidation type="date" allowBlank="1" showInputMessage="1" showErrorMessage="1" sqref="I15:I19" xr:uid="{4673E7AF-53BB-47CE-BEFF-6291FD40BB1D}">
      <formula1>NOW()</formula1>
      <formula2>NOW()+365</formula2>
    </dataValidation>
    <dataValidation type="date" allowBlank="1" showInputMessage="1" showErrorMessage="1" errorTitle="Bad Date" error="Date must be greater than the current date and within 12 months of the current date." sqref="I14" xr:uid="{222CBE91-DFFD-4EC5-8FCE-4AFD90EF2FAA}">
      <formula1>NOW()</formula1>
      <formula2>NOW()+365</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
  <sheetViews>
    <sheetView workbookViewId="0">
      <selection activeCell="E27" sqref="E27"/>
    </sheetView>
  </sheetViews>
  <sheetFormatPr defaultRowHeight="12.75" x14ac:dyDescent="0.2"/>
  <sheetData/>
  <phoneticPr fontId="3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election activeCell="E27" sqref="E27"/>
    </sheetView>
  </sheetViews>
  <sheetFormatPr defaultRowHeight="12.75" x14ac:dyDescent="0.2"/>
  <sheetData/>
  <phoneticPr fontId="3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D23"/>
  <sheetViews>
    <sheetView showGridLines="0" workbookViewId="0">
      <selection sqref="A1:D23"/>
    </sheetView>
  </sheetViews>
  <sheetFormatPr defaultRowHeight="12.75" x14ac:dyDescent="0.2"/>
  <cols>
    <col min="1" max="3" width="48.42578125" customWidth="1"/>
    <col min="4" max="4" width="29.140625" customWidth="1"/>
  </cols>
  <sheetData>
    <row r="1" spans="1:4" ht="30.75" thickBot="1" x14ac:dyDescent="0.25">
      <c r="A1" s="1" t="s">
        <v>59</v>
      </c>
      <c r="B1" s="2" t="s">
        <v>60</v>
      </c>
      <c r="C1" s="3" t="s">
        <v>61</v>
      </c>
      <c r="D1" s="25" t="s">
        <v>135</v>
      </c>
    </row>
    <row r="2" spans="1:4" ht="15" x14ac:dyDescent="0.2">
      <c r="A2" s="288" t="s">
        <v>62</v>
      </c>
      <c r="B2" s="39" t="s">
        <v>63</v>
      </c>
      <c r="C2" s="290" t="s">
        <v>64</v>
      </c>
      <c r="D2" s="292" t="str">
        <f>IF(COUNTA('Change Point Analysis'!$D$39:$D$41,'Change Point Analysis'!$G$39:$G$41)&lt;&gt;6,"Analysis Incomplete",IF('Change Point Analysis'!G39="New","X","-"))</f>
        <v>-</v>
      </c>
    </row>
    <row r="3" spans="1:4" ht="15.75" thickBot="1" x14ac:dyDescent="0.25">
      <c r="A3" s="289"/>
      <c r="B3" s="29" t="s">
        <v>66</v>
      </c>
      <c r="C3" s="291"/>
      <c r="D3" s="293"/>
    </row>
    <row r="4" spans="1:4" ht="15.75" thickBot="1" x14ac:dyDescent="0.25">
      <c r="A4" s="296" t="s">
        <v>65</v>
      </c>
      <c r="B4" s="26" t="s">
        <v>66</v>
      </c>
      <c r="C4" s="299" t="s">
        <v>69</v>
      </c>
      <c r="D4" s="294" t="str">
        <f>IF(COUNTA('Change Point Analysis'!$D$39:$D$41,'Change Point Analysis'!$G$39:$G$41)&lt;&gt;6,"Analysis Incomplete",IF('Change Point Analysis'!D39="New","X","-"))</f>
        <v>-</v>
      </c>
    </row>
    <row r="5" spans="1:4" ht="15.75" thickBot="1" x14ac:dyDescent="0.25">
      <c r="A5" s="298"/>
      <c r="B5" s="26" t="s">
        <v>67</v>
      </c>
      <c r="C5" s="300"/>
      <c r="D5" s="294"/>
    </row>
    <row r="6" spans="1:4" ht="30.75" thickBot="1" x14ac:dyDescent="0.25">
      <c r="A6" s="297"/>
      <c r="B6" s="27" t="s">
        <v>68</v>
      </c>
      <c r="C6" s="301"/>
      <c r="D6" s="294"/>
    </row>
    <row r="7" spans="1:4" ht="21" customHeight="1" thickBot="1" x14ac:dyDescent="0.25">
      <c r="A7" s="28" t="s">
        <v>70</v>
      </c>
      <c r="B7" s="29" t="s">
        <v>66</v>
      </c>
      <c r="C7" s="29" t="s">
        <v>71</v>
      </c>
      <c r="D7" s="36" t="str">
        <f>IF(COUNTA('Change Point Analysis'!$D$39:$D$41,'Change Point Analysis'!$G$39:$G$41)&lt;&gt;6,"Analysis Incomplete",IF('Change Point Analysis'!G41="Yes","X","-"))</f>
        <v>-</v>
      </c>
    </row>
    <row r="8" spans="1:4" ht="30.75" thickBot="1" x14ac:dyDescent="0.25">
      <c r="A8" s="30" t="s">
        <v>72</v>
      </c>
      <c r="B8" s="27" t="s">
        <v>73</v>
      </c>
      <c r="C8" s="27" t="s">
        <v>74</v>
      </c>
      <c r="D8" s="37" t="s">
        <v>129</v>
      </c>
    </row>
    <row r="9" spans="1:4" ht="15" x14ac:dyDescent="0.2">
      <c r="A9" s="305" t="s">
        <v>75</v>
      </c>
      <c r="B9" s="32" t="s">
        <v>66</v>
      </c>
      <c r="C9" s="306" t="s">
        <v>76</v>
      </c>
      <c r="D9" s="292" t="str">
        <f>IF(COUNTA('Change Point Analysis'!$D$39:$D$41,'Change Point Analysis'!$G$39:$G$41)&lt;&gt;6,"Analysis Incomplete",IF('Change Point Analysis'!G39="Changed","X","-"))</f>
        <v>X</v>
      </c>
    </row>
    <row r="10" spans="1:4" ht="15.75" thickBot="1" x14ac:dyDescent="0.25">
      <c r="A10" s="289"/>
      <c r="B10" s="29" t="s">
        <v>63</v>
      </c>
      <c r="C10" s="291"/>
      <c r="D10" s="293"/>
    </row>
    <row r="11" spans="1:4" ht="15.75" thickBot="1" x14ac:dyDescent="0.25">
      <c r="A11" s="296" t="s">
        <v>77</v>
      </c>
      <c r="B11" s="26" t="s">
        <v>66</v>
      </c>
      <c r="C11" s="299" t="s">
        <v>81</v>
      </c>
      <c r="D11" s="294" t="str">
        <f>IF(COUNTA('Change Point Analysis'!$D$39:$D$41,'Change Point Analysis'!$G$39:$G$41)&lt;&gt;6,"Analysis Incomplete",IF('Change Point Analysis'!D39="Changed","X","-"))</f>
        <v>X</v>
      </c>
    </row>
    <row r="12" spans="1:4" ht="15.75" thickBot="1" x14ac:dyDescent="0.25">
      <c r="A12" s="298"/>
      <c r="B12" s="26" t="s">
        <v>78</v>
      </c>
      <c r="C12" s="300"/>
      <c r="D12" s="294"/>
    </row>
    <row r="13" spans="1:4" ht="30.75" thickBot="1" x14ac:dyDescent="0.25">
      <c r="A13" s="298"/>
      <c r="B13" s="26" t="s">
        <v>79</v>
      </c>
      <c r="C13" s="300"/>
      <c r="D13" s="294"/>
    </row>
    <row r="14" spans="1:4" ht="30.75" thickBot="1" x14ac:dyDescent="0.25">
      <c r="A14" s="297"/>
      <c r="B14" s="31" t="s">
        <v>80</v>
      </c>
      <c r="C14" s="301"/>
      <c r="D14" s="294"/>
    </row>
    <row r="15" spans="1:4" ht="15.75" thickBot="1" x14ac:dyDescent="0.25">
      <c r="A15" s="302" t="s">
        <v>82</v>
      </c>
      <c r="B15" s="32" t="s">
        <v>66</v>
      </c>
      <c r="C15" s="32" t="s">
        <v>83</v>
      </c>
      <c r="D15" s="295" t="str">
        <f>IF(COUNTA('Change Point Analysis'!$D$39:$D$41,'Change Point Analysis'!$G$39:$G$41)&lt;&gt;6,"Analysis Incomplete",IF(OR('Change Point Analysis'!D40="New",'Change Point Analysis'!D40="Changed"),"X","-"))</f>
        <v>-</v>
      </c>
    </row>
    <row r="16" spans="1:4" ht="15.75" thickBot="1" x14ac:dyDescent="0.25">
      <c r="A16" s="303"/>
      <c r="B16" s="32" t="s">
        <v>78</v>
      </c>
      <c r="C16" s="32" t="s">
        <v>84</v>
      </c>
      <c r="D16" s="295"/>
    </row>
    <row r="17" spans="1:4" ht="30.75" thickBot="1" x14ac:dyDescent="0.25">
      <c r="A17" s="303"/>
      <c r="B17" s="32" t="s">
        <v>79</v>
      </c>
      <c r="C17" s="34"/>
      <c r="D17" s="295"/>
    </row>
    <row r="18" spans="1:4" ht="30.75" thickBot="1" x14ac:dyDescent="0.25">
      <c r="A18" s="304"/>
      <c r="B18" s="33" t="s">
        <v>80</v>
      </c>
      <c r="C18" s="35"/>
      <c r="D18" s="295"/>
    </row>
    <row r="19" spans="1:4" ht="15.75" thickBot="1" x14ac:dyDescent="0.25">
      <c r="A19" s="296" t="s">
        <v>85</v>
      </c>
      <c r="B19" s="26" t="s">
        <v>66</v>
      </c>
      <c r="C19" s="26" t="s">
        <v>83</v>
      </c>
      <c r="D19" s="294" t="str">
        <f>IF(COUNTA('Change Point Analysis'!$D$39:$D$41,'Change Point Analysis'!$G$39:$G$41)&lt;&gt;6,"Analysis Incomplete",IF('Change Point Analysis'!G40="Yes","X","-"))</f>
        <v>-</v>
      </c>
    </row>
    <row r="20" spans="1:4" ht="15.75" thickBot="1" x14ac:dyDescent="0.25">
      <c r="A20" s="297"/>
      <c r="B20" s="27" t="s">
        <v>86</v>
      </c>
      <c r="C20" s="27" t="s">
        <v>87</v>
      </c>
      <c r="D20" s="294"/>
    </row>
    <row r="21" spans="1:4" ht="15.75" thickBot="1" x14ac:dyDescent="0.25">
      <c r="A21" s="28" t="s">
        <v>88</v>
      </c>
      <c r="B21" s="29" t="s">
        <v>86</v>
      </c>
      <c r="C21" s="29" t="s">
        <v>87</v>
      </c>
      <c r="D21" s="36" t="str">
        <f>IF(COUNTA('Change Point Analysis'!$D$39:$D$41,'Change Point Analysis'!$G$39:$G$41)&lt;&gt;6,"Analysis Incomplete",IF(OR(COUNTIF('Change Point Analysis'!$D$13:$D$18,"Minimal")&gt;0,COUNTIF('Change Point Analysis'!$D$13:$D$18,"Major")&gt;0,COUNTIF('Change Point Analysis'!$D$13:$D$18,"Minor")&gt;0),"X","-"))</f>
        <v>X</v>
      </c>
    </row>
    <row r="22" spans="1:4" ht="15.75" thickBot="1" x14ac:dyDescent="0.25">
      <c r="A22" s="30" t="s">
        <v>6</v>
      </c>
      <c r="B22" s="27" t="s">
        <v>86</v>
      </c>
      <c r="C22" s="27" t="s">
        <v>87</v>
      </c>
      <c r="D22" s="37" t="str">
        <f>IF(COUNTA('Change Point Analysis'!$D$39:$D$41,'Change Point Analysis'!$G$39:$G$41)&lt;&gt;6,"Analysis Incomplete",IF('Change Point Analysis'!D41="Yes","X","-"))</f>
        <v>-</v>
      </c>
    </row>
    <row r="23" spans="1:4" ht="15.75" thickBot="1" x14ac:dyDescent="0.25">
      <c r="A23" s="28" t="s">
        <v>89</v>
      </c>
      <c r="B23" s="29" t="s">
        <v>86</v>
      </c>
      <c r="C23" s="29" t="s">
        <v>87</v>
      </c>
      <c r="D23" s="36" t="s">
        <v>134</v>
      </c>
    </row>
  </sheetData>
  <sheetProtection algorithmName="SHA-512" hashValue="Vy3i592WyWyHOlfqLVlmSaTGIseI9CK57rHM01kJ6i6r6DxzvFPtK12neHbpqs2/vrqs4segJ9K8/ZYzV/wClQ==" saltValue="ucmg0C16CHrDG1sobxPMCg==" spinCount="100000" sheet="1" objects="1" scenarios="1"/>
  <mergeCells count="16">
    <mergeCell ref="A2:A3"/>
    <mergeCell ref="C2:C3"/>
    <mergeCell ref="D2:D3"/>
    <mergeCell ref="D19:D20"/>
    <mergeCell ref="D4:D6"/>
    <mergeCell ref="D11:D14"/>
    <mergeCell ref="D15:D18"/>
    <mergeCell ref="A19:A20"/>
    <mergeCell ref="A4:A6"/>
    <mergeCell ref="C4:C6"/>
    <mergeCell ref="A11:A14"/>
    <mergeCell ref="C11:C14"/>
    <mergeCell ref="A15:A18"/>
    <mergeCell ref="A9:A10"/>
    <mergeCell ref="D9:D10"/>
    <mergeCell ref="C9:C10"/>
  </mergeCells>
  <phoneticPr fontId="34" type="noConversion"/>
  <conditionalFormatting sqref="D11:D23 D4:D9">
    <cfRule type="cellIs" dxfId="1" priority="3" operator="equal">
      <formula>"X"</formula>
    </cfRule>
  </conditionalFormatting>
  <conditionalFormatting sqref="D2">
    <cfRule type="cellIs" dxfId="0" priority="1" operator="equal">
      <formula>"X"</formula>
    </cfRule>
  </conditionalFormatting>
  <printOptions horizontalCentered="1"/>
  <pageMargins left="0.70866141732283472" right="0.70866141732283472" top="0.74803149606299213" bottom="0.74803149606299213" header="0.31496062992125984" footer="0.31496062992125984"/>
  <pageSetup paperSize="9" scale="7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63"/>
  <sheetViews>
    <sheetView showGridLines="0" workbookViewId="0">
      <selection activeCell="B26" sqref="B26"/>
    </sheetView>
  </sheetViews>
  <sheetFormatPr defaultRowHeight="12.75" x14ac:dyDescent="0.2"/>
  <cols>
    <col min="1" max="1" width="104.5703125" style="24" customWidth="1"/>
    <col min="2" max="3" width="39.42578125" customWidth="1"/>
  </cols>
  <sheetData>
    <row r="1" spans="1:1" ht="21" x14ac:dyDescent="0.2">
      <c r="A1" s="16" t="s">
        <v>91</v>
      </c>
    </row>
    <row r="2" spans="1:1" ht="17.25" x14ac:dyDescent="0.2">
      <c r="A2" s="17" t="s">
        <v>92</v>
      </c>
    </row>
    <row r="3" spans="1:1" ht="15" x14ac:dyDescent="0.2">
      <c r="A3" s="18" t="s">
        <v>93</v>
      </c>
    </row>
    <row r="4" spans="1:1" ht="15" x14ac:dyDescent="0.2">
      <c r="A4" s="19" t="s">
        <v>94</v>
      </c>
    </row>
    <row r="5" spans="1:1" ht="30" x14ac:dyDescent="0.2">
      <c r="A5" s="19" t="s">
        <v>95</v>
      </c>
    </row>
    <row r="6" spans="1:1" ht="60" x14ac:dyDescent="0.2">
      <c r="A6" s="19" t="s">
        <v>96</v>
      </c>
    </row>
    <row r="7" spans="1:1" ht="45" x14ac:dyDescent="0.2">
      <c r="A7" s="19" t="s">
        <v>97</v>
      </c>
    </row>
    <row r="8" spans="1:1" ht="15" x14ac:dyDescent="0.2">
      <c r="A8" s="18" t="s">
        <v>98</v>
      </c>
    </row>
    <row r="9" spans="1:1" ht="60" x14ac:dyDescent="0.2">
      <c r="A9" s="19" t="s">
        <v>99</v>
      </c>
    </row>
    <row r="10" spans="1:1" ht="17.25" x14ac:dyDescent="0.2">
      <c r="A10" s="17" t="s">
        <v>100</v>
      </c>
    </row>
    <row r="11" spans="1:1" ht="30" x14ac:dyDescent="0.2">
      <c r="A11" s="18" t="s">
        <v>101</v>
      </c>
    </row>
    <row r="12" spans="1:1" ht="38.25" x14ac:dyDescent="0.2">
      <c r="A12" s="20" t="s">
        <v>102</v>
      </c>
    </row>
    <row r="13" spans="1:1" ht="120" x14ac:dyDescent="0.2">
      <c r="A13" s="18" t="s">
        <v>103</v>
      </c>
    </row>
    <row r="14" spans="1:1" ht="30" x14ac:dyDescent="0.2">
      <c r="A14" s="18" t="s">
        <v>104</v>
      </c>
    </row>
    <row r="15" spans="1:1" ht="15" x14ac:dyDescent="0.2">
      <c r="A15" s="21" t="s">
        <v>105</v>
      </c>
    </row>
    <row r="16" spans="1:1" ht="15" x14ac:dyDescent="0.2">
      <c r="A16" s="15" t="s">
        <v>106</v>
      </c>
    </row>
    <row r="17" spans="1:3" ht="15" x14ac:dyDescent="0.2">
      <c r="A17" s="15" t="s">
        <v>107</v>
      </c>
    </row>
    <row r="18" spans="1:3" x14ac:dyDescent="0.2">
      <c r="A18" s="22" t="s">
        <v>108</v>
      </c>
    </row>
    <row r="19" spans="1:3" x14ac:dyDescent="0.2">
      <c r="A19" s="22" t="s">
        <v>109</v>
      </c>
    </row>
    <row r="20" spans="1:3" ht="15" x14ac:dyDescent="0.2">
      <c r="A20" s="21" t="s">
        <v>110</v>
      </c>
    </row>
    <row r="21" spans="1:3" ht="45" x14ac:dyDescent="0.2">
      <c r="A21" s="21" t="s">
        <v>111</v>
      </c>
    </row>
    <row r="22" spans="1:3" ht="45.75" thickBot="1" x14ac:dyDescent="0.25">
      <c r="A22" s="18" t="s">
        <v>112</v>
      </c>
    </row>
    <row r="23" spans="1:3" ht="30.75" thickBot="1" x14ac:dyDescent="0.25">
      <c r="A23" s="1" t="s">
        <v>59</v>
      </c>
      <c r="B23" s="42" t="s">
        <v>60</v>
      </c>
      <c r="C23" s="3" t="s">
        <v>61</v>
      </c>
    </row>
    <row r="24" spans="1:3" ht="15" x14ac:dyDescent="0.2">
      <c r="A24" s="311" t="s">
        <v>62</v>
      </c>
      <c r="B24" s="40" t="s">
        <v>63</v>
      </c>
      <c r="C24" s="307" t="s">
        <v>64</v>
      </c>
    </row>
    <row r="25" spans="1:3" ht="15.75" thickBot="1" x14ac:dyDescent="0.25">
      <c r="A25" s="310"/>
      <c r="B25" s="41" t="s">
        <v>66</v>
      </c>
      <c r="C25" s="308"/>
    </row>
    <row r="26" spans="1:3" ht="15" x14ac:dyDescent="0.2">
      <c r="A26" s="313" t="s">
        <v>65</v>
      </c>
      <c r="B26" s="5" t="s">
        <v>66</v>
      </c>
      <c r="C26" s="316" t="s">
        <v>69</v>
      </c>
    </row>
    <row r="27" spans="1:3" ht="15" x14ac:dyDescent="0.2">
      <c r="A27" s="315"/>
      <c r="B27" s="5" t="s">
        <v>67</v>
      </c>
      <c r="C27" s="317"/>
    </row>
    <row r="28" spans="1:3" ht="30.75" thickBot="1" x14ac:dyDescent="0.25">
      <c r="A28" s="314"/>
      <c r="B28" s="6" t="s">
        <v>68</v>
      </c>
      <c r="C28" s="318"/>
    </row>
    <row r="29" spans="1:3" ht="15.75" thickBot="1" x14ac:dyDescent="0.25">
      <c r="A29" s="13" t="s">
        <v>70</v>
      </c>
      <c r="B29" s="4" t="s">
        <v>66</v>
      </c>
      <c r="C29" s="4" t="s">
        <v>71</v>
      </c>
    </row>
    <row r="30" spans="1:3" ht="26.25" thickBot="1" x14ac:dyDescent="0.25">
      <c r="A30" s="12" t="s">
        <v>72</v>
      </c>
      <c r="B30" s="14" t="s">
        <v>113</v>
      </c>
      <c r="C30" s="6" t="s">
        <v>74</v>
      </c>
    </row>
    <row r="31" spans="1:3" ht="15" x14ac:dyDescent="0.2">
      <c r="A31" s="312" t="s">
        <v>75</v>
      </c>
      <c r="B31" s="40" t="s">
        <v>63</v>
      </c>
      <c r="C31" s="309" t="s">
        <v>76</v>
      </c>
    </row>
    <row r="32" spans="1:3" ht="15.75" thickBot="1" x14ac:dyDescent="0.25">
      <c r="A32" s="310"/>
      <c r="B32" s="41" t="s">
        <v>66</v>
      </c>
      <c r="C32" s="310"/>
    </row>
    <row r="33" spans="1:3" ht="15" x14ac:dyDescent="0.2">
      <c r="A33" s="313" t="s">
        <v>77</v>
      </c>
      <c r="B33" s="5" t="s">
        <v>66</v>
      </c>
      <c r="C33" s="316" t="s">
        <v>81</v>
      </c>
    </row>
    <row r="34" spans="1:3" ht="15" x14ac:dyDescent="0.2">
      <c r="A34" s="315"/>
      <c r="B34" s="5" t="s">
        <v>78</v>
      </c>
      <c r="C34" s="317"/>
    </row>
    <row r="35" spans="1:3" ht="30" x14ac:dyDescent="0.2">
      <c r="A35" s="315"/>
      <c r="B35" s="5" t="s">
        <v>79</v>
      </c>
      <c r="C35" s="317"/>
    </row>
    <row r="36" spans="1:3" ht="30.75" thickBot="1" x14ac:dyDescent="0.25">
      <c r="A36" s="314"/>
      <c r="B36" s="7" t="s">
        <v>80</v>
      </c>
      <c r="C36" s="318"/>
    </row>
    <row r="37" spans="1:3" ht="15" x14ac:dyDescent="0.2">
      <c r="A37" s="319" t="s">
        <v>82</v>
      </c>
      <c r="B37" s="8" t="s">
        <v>66</v>
      </c>
      <c r="C37" s="8" t="s">
        <v>83</v>
      </c>
    </row>
    <row r="38" spans="1:3" ht="15" x14ac:dyDescent="0.2">
      <c r="A38" s="320"/>
      <c r="B38" s="8" t="s">
        <v>78</v>
      </c>
      <c r="C38" s="8" t="s">
        <v>84</v>
      </c>
    </row>
    <row r="39" spans="1:3" ht="30" x14ac:dyDescent="0.2">
      <c r="A39" s="320"/>
      <c r="B39" s="8" t="s">
        <v>79</v>
      </c>
      <c r="C39" s="10"/>
    </row>
    <row r="40" spans="1:3" ht="30.75" thickBot="1" x14ac:dyDescent="0.25">
      <c r="A40" s="321"/>
      <c r="B40" s="9" t="s">
        <v>80</v>
      </c>
      <c r="C40" s="11"/>
    </row>
    <row r="41" spans="1:3" ht="15" x14ac:dyDescent="0.2">
      <c r="A41" s="313" t="s">
        <v>85</v>
      </c>
      <c r="B41" s="5" t="s">
        <v>66</v>
      </c>
      <c r="C41" s="5" t="s">
        <v>83</v>
      </c>
    </row>
    <row r="42" spans="1:3" ht="15.75" thickBot="1" x14ac:dyDescent="0.25">
      <c r="A42" s="314"/>
      <c r="B42" s="6" t="s">
        <v>86</v>
      </c>
      <c r="C42" s="6" t="s">
        <v>87</v>
      </c>
    </row>
    <row r="43" spans="1:3" ht="15.75" thickBot="1" x14ac:dyDescent="0.25">
      <c r="A43" s="13" t="s">
        <v>88</v>
      </c>
      <c r="B43" s="4" t="s">
        <v>86</v>
      </c>
      <c r="C43" s="4" t="s">
        <v>87</v>
      </c>
    </row>
    <row r="44" spans="1:3" ht="15.75" thickBot="1" x14ac:dyDescent="0.25">
      <c r="A44" s="12" t="s">
        <v>6</v>
      </c>
      <c r="B44" s="6" t="s">
        <v>86</v>
      </c>
      <c r="C44" s="6" t="s">
        <v>87</v>
      </c>
    </row>
    <row r="45" spans="1:3" ht="15.75" thickBot="1" x14ac:dyDescent="0.25">
      <c r="A45" s="13" t="s">
        <v>89</v>
      </c>
      <c r="B45" s="4" t="s">
        <v>86</v>
      </c>
      <c r="C45" s="4" t="s">
        <v>87</v>
      </c>
    </row>
    <row r="46" spans="1:3" ht="30" x14ac:dyDescent="0.2">
      <c r="A46" s="18" t="s">
        <v>114</v>
      </c>
    </row>
    <row r="47" spans="1:3" ht="15" x14ac:dyDescent="0.2">
      <c r="A47" s="18"/>
    </row>
    <row r="48" spans="1:3" ht="15" x14ac:dyDescent="0.2">
      <c r="A48" s="18"/>
    </row>
    <row r="49" spans="1:1" ht="15.75" x14ac:dyDescent="0.2">
      <c r="A49" s="23" t="s">
        <v>115</v>
      </c>
    </row>
    <row r="50" spans="1:1" ht="15" x14ac:dyDescent="0.2">
      <c r="A50" s="18" t="s">
        <v>116</v>
      </c>
    </row>
    <row r="51" spans="1:1" ht="15" x14ac:dyDescent="0.2">
      <c r="A51" s="18" t="s">
        <v>117</v>
      </c>
    </row>
    <row r="52" spans="1:1" ht="15" x14ac:dyDescent="0.2">
      <c r="A52" s="18" t="s">
        <v>118</v>
      </c>
    </row>
    <row r="53" spans="1:1" ht="15" x14ac:dyDescent="0.2">
      <c r="A53" s="18" t="s">
        <v>119</v>
      </c>
    </row>
    <row r="54" spans="1:1" ht="15" x14ac:dyDescent="0.2">
      <c r="A54" s="18" t="s">
        <v>120</v>
      </c>
    </row>
    <row r="55" spans="1:1" ht="15" x14ac:dyDescent="0.2">
      <c r="A55" s="18" t="s">
        <v>121</v>
      </c>
    </row>
    <row r="56" spans="1:1" ht="15" x14ac:dyDescent="0.2">
      <c r="A56" s="18"/>
    </row>
    <row r="57" spans="1:1" ht="15" x14ac:dyDescent="0.2">
      <c r="A57" s="18"/>
    </row>
    <row r="60" spans="1:1" ht="25.5" x14ac:dyDescent="0.2">
      <c r="A60" s="20" t="s">
        <v>122</v>
      </c>
    </row>
    <row r="61" spans="1:1" ht="38.25" x14ac:dyDescent="0.2">
      <c r="A61" s="20" t="s">
        <v>123</v>
      </c>
    </row>
    <row r="62" spans="1:1" x14ac:dyDescent="0.2">
      <c r="A62" s="20" t="s">
        <v>124</v>
      </c>
    </row>
    <row r="63" spans="1:1" ht="25.5" x14ac:dyDescent="0.2">
      <c r="A63" s="20" t="s">
        <v>125</v>
      </c>
    </row>
  </sheetData>
  <sheetProtection algorithmName="SHA-512" hashValue="lumU8oTUku+vLXGeHIQ6Iy/kPMm0qQjs6WIb29U+o0zxjwcYxM2Tb1IcZ9DXCqX24dXL+VrZsAWT7ofgz8MK3A==" saltValue="6eHCRnPKvgRKJi8U+7G6KQ==" spinCount="100000" sheet="1"/>
  <mergeCells count="10">
    <mergeCell ref="C24:C25"/>
    <mergeCell ref="C31:C32"/>
    <mergeCell ref="A24:A25"/>
    <mergeCell ref="A31:A32"/>
    <mergeCell ref="A41:A42"/>
    <mergeCell ref="A26:A28"/>
    <mergeCell ref="C26:C28"/>
    <mergeCell ref="A33:A36"/>
    <mergeCell ref="C33:C36"/>
    <mergeCell ref="A37:A40"/>
  </mergeCells>
  <phoneticPr fontId="34" type="noConversion"/>
  <hyperlinks>
    <hyperlink ref="A12" location="_ftn1" display="_ftn1" xr:uid="{00000000-0004-0000-0400-000000000000}"/>
    <hyperlink ref="A18" location="_ftn2" display="_ftn2" xr:uid="{00000000-0004-0000-0400-000001000000}"/>
    <hyperlink ref="A19" location="_ftn3" display="_ftn3" xr:uid="{00000000-0004-0000-0400-000002000000}"/>
    <hyperlink ref="B30" location="_ftn4" display="_ftn4" xr:uid="{00000000-0004-0000-0400-000003000000}"/>
    <hyperlink ref="A60" location="_ftnref1" display="_ftnref1" xr:uid="{00000000-0004-0000-0400-000004000000}"/>
    <hyperlink ref="A61" location="_ftnref2" display="_ftnref2" xr:uid="{00000000-0004-0000-0400-000005000000}"/>
    <hyperlink ref="A62" location="_ftnref3" display="_ftnref3" xr:uid="{00000000-0004-0000-0400-000006000000}"/>
    <hyperlink ref="A63" location="_ftnref4" display="_ftnref4" xr:uid="{00000000-0004-0000-0400-000007000000}"/>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66976CA9D70CB4892D736D21E25ED89" ma:contentTypeVersion="12" ma:contentTypeDescription="Create a new document." ma:contentTypeScope="" ma:versionID="858997652a2d341629496d7398ee2ad6">
  <xsd:schema xmlns:xsd="http://www.w3.org/2001/XMLSchema" xmlns:xs="http://www.w3.org/2001/XMLSchema" xmlns:p="http://schemas.microsoft.com/office/2006/metadata/properties" xmlns:ns2="da9df629-089c-43c4-9372-2cf396956147" xmlns:ns3="38b79a97-7cd7-4a00-a2e9-e7b1061f31b2" targetNamespace="http://schemas.microsoft.com/office/2006/metadata/properties" ma:root="true" ma:fieldsID="28548cdc504c264b7b1c915e4fa4d2aa" ns2:_="" ns3:_="">
    <xsd:import namespace="da9df629-089c-43c4-9372-2cf396956147"/>
    <xsd:import namespace="38b79a97-7cd7-4a00-a2e9-e7b1061f31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9df629-089c-43c4-9372-2cf3969561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6f62536-3a25-4b8a-9b5d-7e17d0b0464e"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8b79a97-7cd7-4a00-a2e9-e7b1061f31b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f9c5b3b-b84d-4e47-8a62-76b86dcc10ce}" ma:internalName="TaxCatchAll" ma:showField="CatchAllData" ma:web="38b79a97-7cd7-4a00-a2e9-e7b1061f31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a9df629-089c-43c4-9372-2cf396956147">
      <Terms xmlns="http://schemas.microsoft.com/office/infopath/2007/PartnerControls"/>
    </lcf76f155ced4ddcb4097134ff3c332f>
    <TaxCatchAll xmlns="38b79a97-7cd7-4a00-a2e9-e7b1061f31b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ABED02-D953-4CF9-B433-8077F45DC0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9df629-089c-43c4-9372-2cf396956147"/>
    <ds:schemaRef ds:uri="38b79a97-7cd7-4a00-a2e9-e7b1061f31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CDC5E4F-0107-4C70-A65A-BF2A05232F50}">
  <ds:schemaRefs>
    <ds:schemaRef ds:uri="http://purl.org/dc/terms/"/>
    <ds:schemaRef ds:uri="da9df629-089c-43c4-9372-2cf396956147"/>
    <ds:schemaRef ds:uri="http://schemas.microsoft.com/office/2006/documentManagement/types"/>
    <ds:schemaRef ds:uri="http://purl.org/dc/dcmitype/"/>
    <ds:schemaRef ds:uri="http://purl.org/dc/elements/1.1/"/>
    <ds:schemaRef ds:uri="http://schemas.microsoft.com/office/infopath/2007/PartnerControls"/>
    <ds:schemaRef ds:uri="38b79a97-7cd7-4a00-a2e9-e7b1061f31b2"/>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1EC04720-0167-44AD-9828-58D9D308C5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Change Point Analysis</vt:lpstr>
      <vt:lpstr>Core Update Agreement</vt:lpstr>
      <vt:lpstr>Notes</vt:lpstr>
      <vt:lpstr>Images</vt:lpstr>
      <vt:lpstr>Change Scope Table</vt:lpstr>
      <vt:lpstr>Change Point Approach Defined</vt:lpstr>
      <vt:lpstr>'Change Point Approach Defined'!_ftn1</vt:lpstr>
      <vt:lpstr>'Change Point Approach Defined'!_ftn2</vt:lpstr>
      <vt:lpstr>'Change Point Approach Defined'!_ftn3</vt:lpstr>
      <vt:lpstr>'Change Point Approach Defined'!_ftn4</vt:lpstr>
      <vt:lpstr>'Change Point Approach Defined'!_ftnref1</vt:lpstr>
      <vt:lpstr>'Change Point Approach Defined'!_ftnref2</vt:lpstr>
      <vt:lpstr>'Change Point Approach Defined'!_ftnref3</vt:lpstr>
      <vt:lpstr>'Change Point Approach Defined'!_ftnref4</vt:lpstr>
      <vt:lpstr>ChangeScopeTable</vt:lpstr>
      <vt:lpstr>'Change Point Analysis'!Print_Area</vt:lpstr>
      <vt:lpstr>'Change Point Approach Defined'!Print_Area</vt:lpstr>
      <vt:lpstr>'Change Scope Table'!Print_Area</vt:lpstr>
      <vt:lpstr>QH_Footnote</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Dent, Solomon (S.)</dc:creator>
  <cp:lastModifiedBy>Geng, Dekang (D.)</cp:lastModifiedBy>
  <cp:lastPrinted>2019-10-24T22:55:45Z</cp:lastPrinted>
  <dcterms:created xsi:type="dcterms:W3CDTF">2018-12-06T16:19:06Z</dcterms:created>
  <dcterms:modified xsi:type="dcterms:W3CDTF">2023-02-09T01:27:17Z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0x010100B66976CA9D70CB4892D736D21E25ED89</vt:lpwstr>
  </property>
</Properties>
</file>