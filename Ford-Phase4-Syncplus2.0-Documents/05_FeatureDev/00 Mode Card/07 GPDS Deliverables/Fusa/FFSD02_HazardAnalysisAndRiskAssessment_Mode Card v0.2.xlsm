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updateLinks="never" codeName="DieseArbeitsmappe" defaultThemeVersion="124226"/>
  <mc:AlternateContent xmlns:mc="http://schemas.openxmlformats.org/markup-compatibility/2006">
    <mc:Choice Requires="x15">
      <x15ac:absPath xmlns:x15ac="http://schemas.microsoft.com/office/spreadsheetml/2010/11/ac" url="C:\Users\dgeng1\Desktop\geng\00 My Programs\04 FO\0 Mode Card\05 GPDS deliverable\Fusa\"/>
    </mc:Choice>
  </mc:AlternateContent>
  <xr:revisionPtr revIDLastSave="0" documentId="13_ncr:1_{16A66006-B29D-4386-B171-D79BF0656B89}" xr6:coauthVersionLast="47" xr6:coauthVersionMax="47" xr10:uidLastSave="{00000000-0000-0000-0000-000000000000}"/>
  <bookViews>
    <workbookView xWindow="20370" yWindow="-120" windowWidth="25440" windowHeight="15390" tabRatio="950" activeTab="2" xr2:uid="{00000000-000D-0000-FFFF-FFFF00000000}"/>
  </bookViews>
  <sheets>
    <sheet name="Cover Page" sheetId="1" r:id="rId1"/>
    <sheet name="Introduction" sheetId="3" r:id="rId2"/>
    <sheet name="Change Control" sheetId="2" r:id="rId3"/>
    <sheet name="Situation Dictionary" sheetId="5" r:id="rId4"/>
    <sheet name="Hazard Dictionary" sheetId="4" r:id="rId5"/>
    <sheet name="1 - Guide Words" sheetId="6" r:id="rId6"/>
    <sheet name="2 - Assumptions" sheetId="7" r:id="rId7"/>
    <sheet name="3 - Hazard A. &amp; Risk Assessment" sheetId="8" r:id="rId8"/>
    <sheet name="4 - SGs" sheetId="9" r:id="rId9"/>
    <sheet name="5 - Verification Review" sheetId="10" r:id="rId10"/>
    <sheet name="6 - Confirmation Review" sheetId="11" r:id="rId11"/>
    <sheet name="Definitions etc." sheetId="17" r:id="rId12"/>
    <sheet name="Severity" sheetId="12" r:id="rId13"/>
    <sheet name="Exposure" sheetId="13" r:id="rId14"/>
    <sheet name="Controllability" sheetId="14" r:id="rId15"/>
    <sheet name="ASIL Calculation" sheetId="15" r:id="rId16"/>
    <sheet name="Macros" sheetId="16" r:id="rId17"/>
    <sheet name="FTTI Reference Tables (hide me)" sheetId="18" state="hidden" r:id="rId18"/>
  </sheets>
  <functionGroups builtInGroupCount="19"/>
  <externalReferences>
    <externalReference r:id="rId19"/>
    <externalReference r:id="rId20"/>
    <externalReference r:id="rId21"/>
    <externalReference r:id="rId22"/>
  </externalReferences>
  <definedNames>
    <definedName name="_xlnm._FilterDatabase" localSheetId="7" hidden="1">'3 - Hazard A. &amp; Risk Assessment'!$B$3:$AM$14</definedName>
    <definedName name="_xlnm._FilterDatabase" localSheetId="3" hidden="1">'Situation Dictionary'!#REF!</definedName>
    <definedName name="_Hlk73377371" localSheetId="2">'Change Control'!$A$45</definedName>
    <definedName name="ASIL_Tabelle" localSheetId="17">'[1]ASIL Calculation'!$D$4:$H$23</definedName>
    <definedName name="ASIL_Tabelle">'ASIL Calculation'!$D$4:$H$23</definedName>
    <definedName name="C_Wert" localSheetId="17">'[1]3 - Hazard A. &amp; Risk Assessment'!$U:$U</definedName>
    <definedName name="C_Wert">'3 - Hazard A. &amp; Risk Assessment'!$T:$T</definedName>
    <definedName name="Controllability" localSheetId="17">'[1]ASIL Calculation'!$E$3:$H$3</definedName>
    <definedName name="Controllability">'ASIL Calculation'!$E$3:$H$3</definedName>
    <definedName name="E_Wert" localSheetId="17">'[1]3 - Hazard A. &amp; Risk Assessment'!$S:$S</definedName>
    <definedName name="E_Wert">'3 - Hazard A. &amp; Risk Assessment'!$R:$R</definedName>
    <definedName name="Environmental_Conditions" localSheetId="17">'[1]Situation Dictionary'!$C$41:$C$47</definedName>
    <definedName name="Environmental_Conditions">'Situation Dictionary'!$C$42:$C$48</definedName>
    <definedName name="Guideword" localSheetId="17">'[1]1 - Guide Words'!$B$5:$B$12</definedName>
    <definedName name="Guideword">'1 - Guide Words'!$B$5:$B$12</definedName>
    <definedName name="Location" localSheetId="17">'[1]Situation Dictionary'!$C$2:$C$12</definedName>
    <definedName name="Location">'Situation Dictionary'!$C$2:$C$13</definedName>
    <definedName name="_xlnm.Print_Area" localSheetId="7">'3 - Hazard A. &amp; Risk Assessment'!$B$1:$AA$10</definedName>
    <definedName name="_xlnm.Print_Area" localSheetId="0">'Cover Page'!$A$1:$D$17</definedName>
    <definedName name="_xlnm.Print_Titles" localSheetId="7">'3 - Hazard A. &amp; Risk Assessment'!$2:$3</definedName>
    <definedName name="Road_Conditions" localSheetId="17">'[1]Situation Dictionary'!$C$29:$C$37</definedName>
    <definedName name="Road_Conditions">'Situation Dictionary'!$C$30:$C$38</definedName>
    <definedName name="S_Wert" localSheetId="17">'[1]3 - Hazard A. &amp; Risk Assessment'!$Q:$Q</definedName>
    <definedName name="S_Wert">'3 - Hazard A. &amp; Risk Assessment'!$P:$P</definedName>
    <definedName name="Target">'Situation Dictionary'!$C$2:$C$13</definedName>
    <definedName name="Target2" localSheetId="17">'[1]Situation Dictionary'!$C$16:$C$23</definedName>
    <definedName name="Target2">'Situation Dictionary'!$C$17:$C$26</definedName>
    <definedName name="Vehicle_Usage" localSheetId="17">'[1]Situation Dictionary'!$C$51:$C$85</definedName>
    <definedName name="Vehicle_Usage">'Situation Dictionary'!$C$52:$C$86</definedName>
    <definedName name="Z_1EC8F930_14F4_4F68_ADDF_6F0F0EB721BA_.wvu.Cols" localSheetId="15" hidden="1">'ASIL Calculation'!$D:$D,'ASIL Calculation'!$J:$U</definedName>
    <definedName name="Z_1EC8F930_14F4_4F68_ADDF_6F0F0EB721BA_.wvu.FilterData" localSheetId="7" hidden="1">'3 - Hazard A. &amp; Risk Assessment'!$B$3:$AM$14</definedName>
    <definedName name="Z_1EC8F930_14F4_4F68_ADDF_6F0F0EB721BA_.wvu.PrintArea" localSheetId="7" hidden="1">'3 - Hazard A. &amp; Risk Assessment'!$B$1:$AA$10</definedName>
    <definedName name="Z_1EC8F930_14F4_4F68_ADDF_6F0F0EB721BA_.wvu.PrintArea" localSheetId="0" hidden="1">'Cover Page'!$A$1:$D$17</definedName>
    <definedName name="Z_1EC8F930_14F4_4F68_ADDF_6F0F0EB721BA_.wvu.PrintTitles" localSheetId="7" hidden="1">'3 - Hazard A. &amp; Risk Assessment'!$2:$3</definedName>
    <definedName name="Z_97C31678_F053_4946_809D_FA0B847F2A76_.wvu.Cols" localSheetId="15" hidden="1">'ASIL Calculation'!$D:$D,'ASIL Calculation'!$J:$U</definedName>
    <definedName name="Z_97C31678_F053_4946_809D_FA0B847F2A76_.wvu.FilterData" localSheetId="7" hidden="1">'3 - Hazard A. &amp; Risk Assessment'!$B$3:$AM$14</definedName>
    <definedName name="Z_97C31678_F053_4946_809D_FA0B847F2A76_.wvu.PrintArea" localSheetId="7" hidden="1">'3 - Hazard A. &amp; Risk Assessment'!$B$1:$AA$10</definedName>
    <definedName name="Z_97C31678_F053_4946_809D_FA0B847F2A76_.wvu.PrintArea" localSheetId="0" hidden="1">'Cover Page'!$A$1:$D$17</definedName>
    <definedName name="Z_97C31678_F053_4946_809D_FA0B847F2A76_.wvu.PrintTitles" localSheetId="7" hidden="1">'3 - Hazard A. &amp; Risk Assessment'!$2:$3</definedName>
  </definedNames>
  <calcPr calcId="191028"/>
  <customWorkbookViews>
    <customWorkbookView name="Waisman, Maria Eduarda (M.) - Persönliche Ansicht" guid="{1EC8F930-14F4-4F68-ADDF-6F0F0EB721BA}" mergeInterval="0" personalView="1" maximized="1" windowWidth="1362" windowHeight="461" tabRatio="950" activeSheetId="11"/>
    <customWorkbookView name="Hatebur, Denis (D.) - Persönliche Ansicht" guid="{97C31678-F053-4946-809D-FA0B847F2A76}" mergeInterval="0" personalView="1" maximized="1" windowWidth="1247" windowHeight="461" tabRatio="95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13" i="8" l="1"/>
  <c r="Z12" i="8"/>
  <c r="Z21" i="8"/>
  <c r="X21" i="8"/>
  <c r="Z20" i="8"/>
  <c r="X20" i="8"/>
  <c r="Z19" i="8"/>
  <c r="X19" i="8"/>
  <c r="Z18" i="8"/>
  <c r="X18" i="8"/>
  <c r="Z17" i="8"/>
  <c r="X17" i="8"/>
  <c r="X15" i="8"/>
  <c r="X14" i="8"/>
  <c r="X13" i="8"/>
  <c r="X12" i="8"/>
  <c r="Z4" i="8" l="1"/>
  <c r="Z5" i="8"/>
  <c r="X497" i="8" l="1"/>
  <c r="X496" i="8"/>
  <c r="X495" i="8"/>
  <c r="X494" i="8"/>
  <c r="X493" i="8"/>
  <c r="X492" i="8"/>
  <c r="X491" i="8"/>
  <c r="X490" i="8"/>
  <c r="X489" i="8"/>
  <c r="X488" i="8"/>
  <c r="X487" i="8"/>
  <c r="X486" i="8"/>
  <c r="X485" i="8"/>
  <c r="X484" i="8"/>
  <c r="X483" i="8"/>
  <c r="X482" i="8"/>
  <c r="X481" i="8"/>
  <c r="X480" i="8"/>
  <c r="X479" i="8"/>
  <c r="X478" i="8"/>
  <c r="X477" i="8"/>
  <c r="X476" i="8"/>
  <c r="X475" i="8"/>
  <c r="X474" i="8"/>
  <c r="X473" i="8"/>
  <c r="X472" i="8"/>
  <c r="X471" i="8"/>
  <c r="X470" i="8"/>
  <c r="X469" i="8"/>
  <c r="X468" i="8"/>
  <c r="X467" i="8"/>
  <c r="X466" i="8"/>
  <c r="X465" i="8"/>
  <c r="X464" i="8"/>
  <c r="X463" i="8"/>
  <c r="X462" i="8"/>
  <c r="X461" i="8"/>
  <c r="X460" i="8"/>
  <c r="X459" i="8"/>
  <c r="X458" i="8"/>
  <c r="X457" i="8"/>
  <c r="X456" i="8"/>
  <c r="X455" i="8"/>
  <c r="X454" i="8"/>
  <c r="X453" i="8"/>
  <c r="X452" i="8"/>
  <c r="X451" i="8"/>
  <c r="X450" i="8"/>
  <c r="X449" i="8"/>
  <c r="X448" i="8"/>
  <c r="X447" i="8"/>
  <c r="X446" i="8"/>
  <c r="X445" i="8"/>
  <c r="X444" i="8"/>
  <c r="X443" i="8"/>
  <c r="X442" i="8"/>
  <c r="X441" i="8"/>
  <c r="X440" i="8"/>
  <c r="X439" i="8"/>
  <c r="X438" i="8"/>
  <c r="X437" i="8"/>
  <c r="X436" i="8"/>
  <c r="X435" i="8"/>
  <c r="X434" i="8"/>
  <c r="X433" i="8"/>
  <c r="X432" i="8"/>
  <c r="X431" i="8"/>
  <c r="X430" i="8"/>
  <c r="X429" i="8"/>
  <c r="X428" i="8"/>
  <c r="X427" i="8"/>
  <c r="X426" i="8"/>
  <c r="X425" i="8"/>
  <c r="X424" i="8"/>
  <c r="X423" i="8"/>
  <c r="X422" i="8"/>
  <c r="X421" i="8"/>
  <c r="X420" i="8"/>
  <c r="X419" i="8"/>
  <c r="X418" i="8"/>
  <c r="X417" i="8"/>
  <c r="X416" i="8"/>
  <c r="X415" i="8"/>
  <c r="X414" i="8"/>
  <c r="X413" i="8"/>
  <c r="X412" i="8"/>
  <c r="X411" i="8"/>
  <c r="X410" i="8"/>
  <c r="X409" i="8"/>
  <c r="X408" i="8"/>
  <c r="X407" i="8"/>
  <c r="X406" i="8"/>
  <c r="X405" i="8"/>
  <c r="X404" i="8"/>
  <c r="X403" i="8"/>
  <c r="X402" i="8"/>
  <c r="X401" i="8"/>
  <c r="X400" i="8"/>
  <c r="X399" i="8"/>
  <c r="X398" i="8"/>
  <c r="X397" i="8"/>
  <c r="X396" i="8"/>
  <c r="X395" i="8"/>
  <c r="X394" i="8"/>
  <c r="X393" i="8"/>
  <c r="X392" i="8"/>
  <c r="X391" i="8"/>
  <c r="X390" i="8"/>
  <c r="X389" i="8"/>
  <c r="X388" i="8"/>
  <c r="X387" i="8"/>
  <c r="X386" i="8"/>
  <c r="X385" i="8"/>
  <c r="X384" i="8"/>
  <c r="X383" i="8"/>
  <c r="X382" i="8"/>
  <c r="X381" i="8"/>
  <c r="X380" i="8"/>
  <c r="X379" i="8"/>
  <c r="X378" i="8"/>
  <c r="X377" i="8"/>
  <c r="X376" i="8"/>
  <c r="X375" i="8"/>
  <c r="X374" i="8"/>
  <c r="X373" i="8"/>
  <c r="X372" i="8"/>
  <c r="X371" i="8"/>
  <c r="X370" i="8"/>
  <c r="X369" i="8"/>
  <c r="X368" i="8"/>
  <c r="X367" i="8"/>
  <c r="X366" i="8"/>
  <c r="X365" i="8"/>
  <c r="X364" i="8"/>
  <c r="X363" i="8"/>
  <c r="X362" i="8"/>
  <c r="X361" i="8"/>
  <c r="X360" i="8"/>
  <c r="X359" i="8"/>
  <c r="X358" i="8"/>
  <c r="X357" i="8"/>
  <c r="X356" i="8"/>
  <c r="X355" i="8"/>
  <c r="X354" i="8"/>
  <c r="X353" i="8"/>
  <c r="X352" i="8"/>
  <c r="X351" i="8"/>
  <c r="X350" i="8"/>
  <c r="X349" i="8"/>
  <c r="X348" i="8"/>
  <c r="X347" i="8"/>
  <c r="X346" i="8"/>
  <c r="X345" i="8"/>
  <c r="X344" i="8"/>
  <c r="X343" i="8"/>
  <c r="X342" i="8"/>
  <c r="X341" i="8"/>
  <c r="X340" i="8"/>
  <c r="X339" i="8"/>
  <c r="X338" i="8"/>
  <c r="X337" i="8"/>
  <c r="X336" i="8"/>
  <c r="X335" i="8"/>
  <c r="X334" i="8"/>
  <c r="X333" i="8"/>
  <c r="X332" i="8"/>
  <c r="X331" i="8"/>
  <c r="X330" i="8"/>
  <c r="X329" i="8"/>
  <c r="X328" i="8"/>
  <c r="X327" i="8"/>
  <c r="X326" i="8"/>
  <c r="X325" i="8"/>
  <c r="X324" i="8"/>
  <c r="X323" i="8"/>
  <c r="X322" i="8"/>
  <c r="X321" i="8"/>
  <c r="X320" i="8"/>
  <c r="X319" i="8"/>
  <c r="X318" i="8"/>
  <c r="X317" i="8"/>
  <c r="X316" i="8"/>
  <c r="X315" i="8"/>
  <c r="X314" i="8"/>
  <c r="X313" i="8"/>
  <c r="X312" i="8"/>
  <c r="X311" i="8"/>
  <c r="X310" i="8"/>
  <c r="X309" i="8"/>
  <c r="X308" i="8"/>
  <c r="X307" i="8"/>
  <c r="X306" i="8"/>
  <c r="X305" i="8"/>
  <c r="X304" i="8"/>
  <c r="X303" i="8"/>
  <c r="X302" i="8"/>
  <c r="X301" i="8"/>
  <c r="X300" i="8"/>
  <c r="X299" i="8"/>
  <c r="X298" i="8"/>
  <c r="X297" i="8"/>
  <c r="X296" i="8"/>
  <c r="X295" i="8"/>
  <c r="X294" i="8"/>
  <c r="X293" i="8"/>
  <c r="X292" i="8"/>
  <c r="X291" i="8"/>
  <c r="X290" i="8"/>
  <c r="X289" i="8"/>
  <c r="X288" i="8"/>
  <c r="X287" i="8"/>
  <c r="X286" i="8"/>
  <c r="X285" i="8"/>
  <c r="X284" i="8"/>
  <c r="X283" i="8"/>
  <c r="X282" i="8"/>
  <c r="X281" i="8"/>
  <c r="X280" i="8"/>
  <c r="X279" i="8"/>
  <c r="X278" i="8"/>
  <c r="X277" i="8"/>
  <c r="X276" i="8"/>
  <c r="X275" i="8"/>
  <c r="X274" i="8"/>
  <c r="X273" i="8"/>
  <c r="X272" i="8"/>
  <c r="X271" i="8"/>
  <c r="X270" i="8"/>
  <c r="X269" i="8"/>
  <c r="X268" i="8"/>
  <c r="X267" i="8"/>
  <c r="X266" i="8"/>
  <c r="X265" i="8"/>
  <c r="X264" i="8"/>
  <c r="X263" i="8"/>
  <c r="X262" i="8"/>
  <c r="X261" i="8"/>
  <c r="X260" i="8"/>
  <c r="X259" i="8"/>
  <c r="X258" i="8"/>
  <c r="X257" i="8"/>
  <c r="X256" i="8"/>
  <c r="X255" i="8"/>
  <c r="X254" i="8"/>
  <c r="X253" i="8"/>
  <c r="X252"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9" i="8"/>
  <c r="X11" i="8"/>
  <c r="X10" i="8"/>
  <c r="X5" i="8"/>
  <c r="X4" i="8"/>
  <c r="Z10" i="8" l="1"/>
  <c r="Z11" i="8"/>
  <c r="Z9"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B1" i="8" l="1"/>
</calcChain>
</file>

<file path=xl/sharedStrings.xml><?xml version="1.0" encoding="utf-8"?>
<sst xmlns="http://schemas.openxmlformats.org/spreadsheetml/2006/main" count="1765" uniqueCount="851">
  <si>
    <t xml:space="preserve"> </t>
  </si>
  <si>
    <t xml:space="preserve"> Hazard Analysis and Risk Assessment</t>
  </si>
  <si>
    <t>Commodities</t>
  </si>
  <si>
    <t>Program(s)</t>
  </si>
  <si>
    <t>VSEM ID</t>
  </si>
  <si>
    <t>Document Version</t>
  </si>
  <si>
    <t>Template Authors:</t>
  </si>
  <si>
    <t>Template Version:</t>
  </si>
  <si>
    <t>1. Introduction</t>
  </si>
  <si>
    <t>1.1 Purpose</t>
  </si>
  <si>
    <t xml:space="preserve">The purpose of the  Hazard Analysis and Risk Assessment is to identify and categorize the potential hazards of the item and to formulate safety goals related to the prevention or mitigation of these hazards in order to achieve an acceptable residual risk. For this, the item is evaluated with regard to its safety implications.
Safety goals and their assigned Automotive Safety Integrity Level (ASIL) are determined by a systematic evaluation of hazardous situations. The rationale of the ASIL determination considers the estimation of the impact factors, that is, severity, probability of exposure and controllability.
The tasks of the Hazard Analysis &amp; Risk Assessment are:
• identification and categorization of potential hazards of the item
• formulation of safety goals related to the prevention or mitigation of these hazards in order to achieve an acceptable residual risk
• evaluation of the item with regard to its safety implications
</t>
  </si>
  <si>
    <t>1.2 Input documents</t>
  </si>
  <si>
    <t>Document Name</t>
  </si>
  <si>
    <t>Version</t>
  </si>
  <si>
    <r>
      <t xml:space="preserve">FFSD / Other Input </t>
    </r>
    <r>
      <rPr>
        <sz val="9"/>
        <rFont val="Arial"/>
        <family val="2"/>
      </rPr>
      <t>(Required)</t>
    </r>
  </si>
  <si>
    <r>
      <t xml:space="preserve">Other Input
</t>
    </r>
    <r>
      <rPr>
        <sz val="9"/>
        <rFont val="Arial"/>
        <family val="2"/>
      </rPr>
      <t>(Optional)</t>
    </r>
  </si>
  <si>
    <t>Guidance ISO26262 HARA Assessment of SEC</t>
  </si>
  <si>
    <t>Global Functional Safety SharePoint Link</t>
  </si>
  <si>
    <t>Open concerns / Action items (from multiple sources)</t>
  </si>
  <si>
    <t>-</t>
  </si>
  <si>
    <t>Change Control</t>
  </si>
  <si>
    <t>Date</t>
  </si>
  <si>
    <t>Author</t>
  </si>
  <si>
    <t>Change / Remark</t>
  </si>
  <si>
    <t>HARA Team:</t>
  </si>
  <si>
    <t>Name</t>
  </si>
  <si>
    <t>e-Mail</t>
  </si>
  <si>
    <t>Function / Department</t>
  </si>
  <si>
    <t>Company</t>
  </si>
  <si>
    <t>Phone</t>
  </si>
  <si>
    <t>Other Meeting Participants</t>
  </si>
  <si>
    <t>Note: If this document is not stored in VSEM and marked as final, it is an intermediate document and not the final version.</t>
  </si>
  <si>
    <t>Note:</t>
  </si>
  <si>
    <t>This document is the Template for the Ford Functional Safety Document "FFSD 02 Hazard Analysis &amp; Risk Assessment".</t>
  </si>
  <si>
    <t>To create the document, the corresponding guideline shall be used by Ford. The Template in combination with the requirements of the Guideline represents the basis for an ISO 26262 aliged document.</t>
  </si>
  <si>
    <t>The template has the IP Classification “Proprietary”. In the footer, IP Classification “Confidential” is stated because usually the FFSD (that will be created from the template) will have IP Classification “Confidential”.</t>
  </si>
  <si>
    <t>For all persons involved in the creation or review of the document it is recommended to read and understand all Functional Safety guidelines in order to get a sufficient overview about the overall Safety Process.</t>
  </si>
  <si>
    <t xml:space="preserve">As supporting documents, a template for meeting minutes and a template for Open Concerns exist. These supporting documents shall be used in accordance to the Functional Safety guidelines as required. </t>
  </si>
  <si>
    <t>The Functional Safety Document Set is available in the "Functional Safety Toolbox":</t>
  </si>
  <si>
    <t>https://azureford.sharepoint.com/sites/GlobalFunctionalSafety/Released%20Templates%20Guidelines%20and%20Examples/Forms/AllItems.aspx?View=%7B09F85C50%2DBFA0%2D46E0%2D9AFB%2DDDC8D51AB849%7D</t>
  </si>
  <si>
    <r>
      <t>“</t>
    </r>
    <r>
      <rPr>
        <i/>
        <sz val="10"/>
        <color rgb="FF0070C0"/>
        <rFont val="Arial"/>
        <family val="2"/>
      </rPr>
      <t>Template</t>
    </r>
    <r>
      <rPr>
        <i/>
        <sz val="10"/>
        <color rgb="FFA6A6A6"/>
        <rFont val="Arial"/>
        <family val="2"/>
      </rPr>
      <t>” should be removed from Cover Page in the program specific document.</t>
    </r>
    <r>
      <rPr>
        <sz val="10"/>
        <color rgb="FFA6A6A6"/>
        <rFont val="Arial"/>
        <family val="2"/>
      </rPr>
      <t> </t>
    </r>
  </si>
  <si>
    <r>
      <rPr>
        <i/>
        <u/>
        <sz val="10"/>
        <color theme="0" tint="-0.34998626667073579"/>
        <rFont val="Arial"/>
        <family val="2"/>
      </rPr>
      <t>Format-Options:</t>
    </r>
    <r>
      <rPr>
        <i/>
        <sz val="10"/>
        <color theme="0" tint="-0.34998626667073579"/>
        <rFont val="Arial"/>
        <family val="2"/>
      </rPr>
      <t xml:space="preserve">
Hints: Light grey italic formatted text. This text can be removed in the final version of the document.</t>
    </r>
  </si>
  <si>
    <t>ID</t>
  </si>
  <si>
    <t>Hazard</t>
  </si>
  <si>
    <t>Description</t>
  </si>
  <si>
    <t>No Hazard</t>
  </si>
  <si>
    <t>No or minimal risk of harm</t>
  </si>
  <si>
    <t>Blinding Others</t>
  </si>
  <si>
    <t>Vehicle systems may impact other road users' visibility. (e.g. headlamps, high beams)</t>
  </si>
  <si>
    <t>Exposure to extreme temperatures</t>
  </si>
  <si>
    <t>Contact with high heat that may cause burns or heat exhaustion. Or contact with low temperatures that may cause frost bites or hypothermia.</t>
  </si>
  <si>
    <t>Contact with Moving Parts or Entanglement</t>
  </si>
  <si>
    <t>Human physically enters hazard area of vehicle (e.g., closing/opening of windows, doors, trunk, hood, rotating parts of propulsion) through direct contact of human's part of the body, loose clothing or accessory.</t>
  </si>
  <si>
    <t>Degraded Vehicle Stability</t>
  </si>
  <si>
    <t>Degraded vehicle control or wheelspin resulting in oversteer.</t>
  </si>
  <si>
    <t xml:space="preserve">Electric Shock </t>
  </si>
  <si>
    <t>Electrical system causing sudden discharge of electricity to human.</t>
  </si>
  <si>
    <t>Explosion</t>
  </si>
  <si>
    <t>Sudden release of large amount of energy causing a rapid increase in volume of gases</t>
  </si>
  <si>
    <t>Fire</t>
  </si>
  <si>
    <t>Damage caused by heat, smoke or flame.</t>
  </si>
  <si>
    <t xml:space="preserve">Flying Debris </t>
  </si>
  <si>
    <t>Fragments broken apart and airborne near human.</t>
  </si>
  <si>
    <t>Locked Steering</t>
  </si>
  <si>
    <t>Steering wheel is locked into fixed position not allowing human input.</t>
  </si>
  <si>
    <t>Loss of or Degraded Deceleration</t>
  </si>
  <si>
    <t>The vehicle does not decelerate as requested by the driver.</t>
  </si>
  <si>
    <t>Loss of or Degraded Lateral Motion Control</t>
  </si>
  <si>
    <t>Degraded ability to follow intended path.</t>
  </si>
  <si>
    <t>Release of Harmful Materials</t>
  </si>
  <si>
    <t>Expulsion of harmful substances to a human inside or outside the vehicle including liquid or gas.</t>
  </si>
  <si>
    <t>Sudden Loss of Steering Assist</t>
  </si>
  <si>
    <t>Steering assist is suddenly removed, requiring increased driver steering inputs.</t>
  </si>
  <si>
    <t>Unintended Acceleration</t>
  </si>
  <si>
    <t>The vehicle acceleration exceeds desired requested acceleration.</t>
  </si>
  <si>
    <t>Unintended Deceleration</t>
  </si>
  <si>
    <t>The vehicle deceleration exceeds desired requested deceleration.</t>
  </si>
  <si>
    <t>Unintended Driving Direction (Forward/Reverse)</t>
  </si>
  <si>
    <t>The vehicle applies torque to the wheels in the direction opposite to the requested direction.</t>
  </si>
  <si>
    <t>Unintended Launch</t>
  </si>
  <si>
    <t>Torque is transmitted to the wheels from a vehicle standstill when it is not requested.</t>
  </si>
  <si>
    <t>Unintended Steering (Self-steer)</t>
  </si>
  <si>
    <t>Uncontrolled steering movement.</t>
  </si>
  <si>
    <t>Unintended Vehicle Movement</t>
  </si>
  <si>
    <t>The vehicle rolls away from Park or other secured state (non-propulsion movement).</t>
  </si>
  <si>
    <t>Loss of or Degraded Motive Power</t>
  </si>
  <si>
    <t>Engine stall, transmission stops transferring torque to the drive wheels while in gear, transmission stuck in Park or brakes stuck on, acceleration is less than demand, and loss of propulsion.</t>
  </si>
  <si>
    <t>Impaired Visibility</t>
  </si>
  <si>
    <t>Loss of wipers (rain, snow on windscreen), folded rear view mirrors, frosted windows, loss of headlights, frozen camera picture, self blinding (head lamps in fog, lights in vehicle) for the vehicle of interest.</t>
  </si>
  <si>
    <t>Loss of or Incorrect External Indicators of Vehicle/Driver Intent</t>
  </si>
  <si>
    <t>Loss of or inverted external visual (e.g. loss of hazard lights, loss of brake lights, loss of headlights) or audible (e.g. horn) indicators communicating vehicle/driver intent.</t>
  </si>
  <si>
    <t>Passengers and/or Cargo not Secured in Vehicle</t>
  </si>
  <si>
    <t>Passengers not secured in vehicle (e.g., unintended door opening), trailer  disconnected from vehicle (electr. actuated tow bar), unintended door opening, trunk.</t>
  </si>
  <si>
    <t>Impaired Access to Controls</t>
  </si>
  <si>
    <t>Driver seat position changes, steering wheel position (electr. actuated).</t>
  </si>
  <si>
    <t>Harmful Radiation</t>
  </si>
  <si>
    <t>Emission of electromagnetic radiation, particle radiation, or acoustic radiation.</t>
  </si>
  <si>
    <t>(Autonomy-related) Violation of required separation distance from nearby objects</t>
  </si>
  <si>
    <t>Req'd separation distance may depend on object (e.g., other vehicles, non-motorists, buildings, etc.), operating and environmental conditions. Causes may be misperception of objects, inaccurate path-planning, violation of traffic laws, vehicle exceeding nominal dimensions, etc.</t>
  </si>
  <si>
    <t>(Autonomy-related) Vehicle enters area/region where it is not allowed to drive</t>
  </si>
  <si>
    <t>Vehicle enters area that is hazardous (e.g., forest fire) or illegal, where driving is physically impossible (e.g., crossing the edge of a bridge or cliff, entering a body of water), or where it was not intended to be.</t>
  </si>
  <si>
    <t>Occupant cannot exit when needed</t>
  </si>
  <si>
    <t>Occupant cannot exit vehicle (e.g. due to vehicle malfunction, issue(s) with external environment or occupant(s)) or assistance cannot be provided from outside in an emergency Situation.</t>
  </si>
  <si>
    <t>Degraded Crash Protection</t>
  </si>
  <si>
    <t>Early, Late or Non-Deployment of a crash protection device. (e.g., Airbag, Belt Tensioner etc.)</t>
  </si>
  <si>
    <t>Unintended Deployment</t>
  </si>
  <si>
    <t>Unintended Crash Protection Deployment</t>
  </si>
  <si>
    <t>Loss of or Incorrect Object Detection Feedback</t>
  </si>
  <si>
    <t>Loss of object detection feedback (e.g. visual, audio, tactile) to driver and/or passenger, where action (e.g. changing lane, braking, exiting vehicle…) is taken based on feedback. Loss of blind spot monitor indicator, parking aid, and egress assist</t>
  </si>
  <si>
    <t>Ref.</t>
  </si>
  <si>
    <t>Location</t>
  </si>
  <si>
    <t>Specific locations are Not relevant for the hazard.</t>
  </si>
  <si>
    <t>Includes: 
- Car park / parking lot
- Confined area (e.g. garage, multi car storage)
- Drive / street in city (outside car park / parking lot)
- Parked / hold on drive / street / emergency lane 
- Very low speed</t>
  </si>
  <si>
    <t>Low speed road includes city roads and country roads. The speed is usually limited to 50kph / 35mph. The road lanes may not be separated and non-motorists may be available.</t>
  </si>
  <si>
    <t>Medium speed road includes city roads and country roads. The speed is usually limited to 100kph / 55mph.</t>
  </si>
  <si>
    <t>High speed road includes highways, freeways and Autobahn. Lanes are usually separated without oncoming traffic and non-motorists are not allowed to use it. High speed road also includes highway entrance ramps and exit ramps.</t>
  </si>
  <si>
    <t>Includes: 
- Sand driving
- Mud &amp; ruts 
- Gravel 
- Grass
- Boulder crawl (rocky river bed) 
- Wading (driving in deep water)</t>
  </si>
  <si>
    <t>Includes:
- City road intersection
- Country road intersection
- Crossing an intersection where the car should not stop</t>
  </si>
  <si>
    <t>Includes:
-  Automatic car wash</t>
  </si>
  <si>
    <t>Stranded and nothing is surround. Includes all situations where civilization cannot be reached by walking and other traffic is unlikely (e.g. desert).</t>
  </si>
  <si>
    <t>Includes:
- Shipping after production (ferry, train, truck)
- Disabled vehicle transported (ferry, train, truck)</t>
  </si>
  <si>
    <t>Includes:
- Vehicle assembly: end of line or pre-customer 
- Vehicle disassembly / decomissioning
- Service at a garage 
- Diagnosis, hoist / vehicle on auto lift 
- Vehicle on roller rig 
- Road side assistance 
- Special service modes</t>
  </si>
  <si>
    <t>A designated facility for racing of vehicles where vehicles can be driven at high speeds and at or near design limits. Not subject to normal traffic laws.</t>
  </si>
  <si>
    <t>Traffic &amp; non-motorists</t>
  </si>
  <si>
    <t>Specific traffic or people conditions are Not relevant for the hazard.</t>
  </si>
  <si>
    <r>
      <rPr>
        <sz val="10"/>
        <rFont val="Arial"/>
        <family val="2"/>
      </rPr>
      <t>Following traffic, critical distance between both vehicles</t>
    </r>
    <r>
      <rPr>
        <u/>
        <sz val="10"/>
        <color indexed="12"/>
        <rFont val="Arial"/>
        <family val="2"/>
      </rPr>
      <t xml:space="preserve">
https://en.wikipedia.org/w/index.php?title=Three-phase_traffic_theory</t>
    </r>
  </si>
  <si>
    <t>https://en.wikipedia.org/w/index.php?title=Three-phase_traffic_theory</t>
  </si>
  <si>
    <r>
      <rPr>
        <sz val="10"/>
        <rFont val="Arial"/>
        <family val="2"/>
      </rPr>
      <t>Traffic congestion
Heavy speed difference</t>
    </r>
    <r>
      <rPr>
        <u/>
        <sz val="10"/>
        <color indexed="12"/>
        <rFont val="Arial"/>
        <family val="2"/>
      </rPr>
      <t xml:space="preserve">
https://en.wikipedia.org/w/index.php?title=Three-phase_traffic_theory</t>
    </r>
  </si>
  <si>
    <t>Includes:
- Oncoming traffic
- Vehicles parked at roadside
- Approaching end of congestion
- Surrounding traffic with high speed (e.g. within neighbor lane)</t>
  </si>
  <si>
    <t>Includes:
- Driver is in the vehicle and is able to intervene
- Driver is asleep when vehicle is stationary
ISO 26262-03 Note: It is assumed that the driver is in an appropriate condition to drive with respect to the general population (for example not exhausted), has the appropriate driver training (has a driver's license) and is complying with legal regulations including due care requirements to avoid risks to other traffic participants.</t>
  </si>
  <si>
    <t xml:space="preserve">Includes:
- Passengers on front seat
- Passenger(s) on rear bench seat
- Passenger but no driver available
- Sleeping person(s) in the vehicle
- Car used for transport of persons (variable number of seats) </t>
  </si>
  <si>
    <t>Includes:
- Non-motorists in parking situation
- First vehicle in front of non-motorist crossing (first in queue)
- Non-motorist touching the outside of the vehicle
- Service personal / Auto mechanic (trained)</t>
  </si>
  <si>
    <t>Includes: 
- Driver or passenger</t>
  </si>
  <si>
    <t>No driver present in the vehicle</t>
  </si>
  <si>
    <t>Road Conditions</t>
  </si>
  <si>
    <t>Specific road conditions are Not relevant for the hazard.</t>
  </si>
  <si>
    <t>Includes:
- Dry paved roads</t>
  </si>
  <si>
    <t>Includes:
- Wet roads
- Unpaved road
- Grippy snow</t>
  </si>
  <si>
    <t>Includes any slippery ground like:
- Ice
- Hydroplaning / Aquaplaning
- Slippery snow</t>
  </si>
  <si>
    <t>Significant deviation between left and right surface condition. (one needs to be low traction)</t>
  </si>
  <si>
    <t>Flat ground</t>
  </si>
  <si>
    <t>Includes:
- Slight or medium downward or upward grade
- Significant downward or upward grade
- Mountains (serpentines)</t>
  </si>
  <si>
    <t>Includes:
-Chatter bumps
-Impact bumps 
-Light and heavy vehicle cobblestones 
-Potholes
-Resonance and undulating roads 
-Sine wave roads
-Variety of gravel
-Cross-country roads</t>
  </si>
  <si>
    <t>Includes:
- Slight or medium road camber / side slope
- Significant road camber / side slope</t>
  </si>
  <si>
    <t>Environmental Conditions</t>
  </si>
  <si>
    <t>Specific environmental conditions are Not relevant for the hazard.</t>
  </si>
  <si>
    <t xml:space="preserve">Includes:
- Sun </t>
  </si>
  <si>
    <t>Includes:
- Night-Driving without any light source
- Night-Driving with some light
- Night-Driving - a driver is glared</t>
  </si>
  <si>
    <t>Includes:
- Raining
- Weather situations may change rapidly, e.g. fogbank
- Driving with limited visibility 
- Low sun in morning and evening (sun glare)
- Different visibility (e.g. due to cargo or trailer)
- Traffic participant is glared</t>
  </si>
  <si>
    <t>Includes:
- Hot surfaces due to sunshine</t>
  </si>
  <si>
    <t>Includes:
-Tunnels
-Garages
-Walls
-Tall hedges
-Alley ways</t>
  </si>
  <si>
    <t>Includes:
- Parking vehicles at roadside</t>
  </si>
  <si>
    <t>Vehicle Usage</t>
  </si>
  <si>
    <t>Specific vehicle usage is Not relevant for the hazard.</t>
  </si>
  <si>
    <t>Includes:
- Ignition off in standstill
- Switch ignition off while driving at speed</t>
  </si>
  <si>
    <t>Includes:
- Engine off with motor enable (HEV/BEV)</t>
  </si>
  <si>
    <t>Includes: 
- Engine automatically stopped (e.g. in standstill or while driving)
- Engine stalled</t>
  </si>
  <si>
    <t>Includes:
- First start of the engine (cold start)
- Automatically engine cranking by start-stop
- Bump start</t>
  </si>
  <si>
    <t>Includes:
- Shifter in park range
- Transmission state is in park</t>
  </si>
  <si>
    <t>Includes:
- Transmission stay in neutral mode
- park override
- Shifter in neutral
- Open Driveline</t>
  </si>
  <si>
    <t>Includes:
- Driving in low gears
- Shifter in drive
- Transmission in gear</t>
  </si>
  <si>
    <t>Includes:
- Shifter in reverse 
- Transmission in reverse</t>
  </si>
  <si>
    <t>Process off changing gears (driver or transmission)</t>
  </si>
  <si>
    <t>Includes:
- Vehicle at standstill and applied service brakes
- Vehicle at standstill but is able to roll away (no brake is applied)
- Vehicle is secured against roll away (e.g. by park brake or "P" selected)</t>
  </si>
  <si>
    <t>Includes:
- Driving at high speed
- Driving at medium speed
- Driving at low speed</t>
  </si>
  <si>
    <t>Includes:
- Rearward driving with propulsion torque</t>
  </si>
  <si>
    <t>Includes:
- Vehicle rolling downhill (e.g. to try to start the engine or to save gas in stop and go situation; not all functions are available)
- Rolling out with ignition already switched off (including break down)
- Rolling out with ignition on  (including break down)
- Rearward rolling (e.g. by inclination)</t>
  </si>
  <si>
    <t>Includes:
- First launch after driver initiated engine start (key start, push-button etc.)
- Launch into moving traffic, for example normal pull away at  junctions, roundabouts
- Launch in emergency situations
- Launch at traffic lights or non-motorist crossing etc.</t>
  </si>
  <si>
    <t>Includes:
- Smooth acceleration
- Max acceleration</t>
  </si>
  <si>
    <t>Deceleration without applied service brakes.
Includes:
- Power Off
- Coast Down / Sailing
- Regenerative braking / Recuperation without driver initiated braking</t>
  </si>
  <si>
    <t>Includes:
- Normal braking
- Hard braking
- Emergency braking
- Regenerative braking / Recuperation with driver initiated braking
- Braking at standstill</t>
  </si>
  <si>
    <t>Includes:
- Electric park brake (EPB) applied
- Manual park brake applied.</t>
  </si>
  <si>
    <t>Includes:
- Driving straight
- Path correction while driving straight</t>
  </si>
  <si>
    <t>Includes:
- Steering while low speed maneuvering 
- Steering in a curve
- Executing a turn
- changing lanes</t>
  </si>
  <si>
    <t>Includes:
- Curve driving with high lateral acceleration
- Evasive maneuver
- High understeer
- High oversteer</t>
  </si>
  <si>
    <t>Vehicle is involved in collision. This includes all necessary rescue instructions (e.g. extinguish fires in case of battery powered vehicles, deactivating airbags).</t>
  </si>
  <si>
    <t>Includes:
- Fueling on fueling station
- Fueling by spare can
- Charging at public charging station
- Charging at home (e.g. in garage)</t>
  </si>
  <si>
    <t xml:space="preserve">Includes:
- Being towed with rope
- Being towed with tow bar </t>
  </si>
  <si>
    <t>Includes:
- Trailer connected
- Different visibility (e.g. due to cargo or trailer) 
- Towing with rope 
- Towing with tow bar</t>
  </si>
  <si>
    <t>Includes:
- Vehicle used for cargo
- Different weight distribution
- Plowing with front attachments</t>
  </si>
  <si>
    <t xml:space="preserve">Includes:
- Overtaking when a car is approaching from the rear 
- Oncoming traffic in critical distance during overtaking </t>
  </si>
  <si>
    <t>A specific operating conditions for which an automated driving system is designed to function. Operating conditions include : geographic, roadway, environmental, traffic, speed and/or temporal conditional limitations.</t>
  </si>
  <si>
    <t>A specific operating conditions for which an automated driving system is NOT designed to function. Operating conditions include : geographic, roadway, environmental, traffic, speed and/or temporal conditional limitations.</t>
  </si>
  <si>
    <t>Guide words used in this analysis and their interpretation with regard to system behavior</t>
  </si>
  <si>
    <t>System Behaviors of &lt;&lt; Feature &gt;&gt;</t>
  </si>
  <si>
    <t>Guide Word</t>
  </si>
  <si>
    <t>No</t>
  </si>
  <si>
    <t>the expected system behavior is not performed at all or there is no result</t>
  </si>
  <si>
    <t>Unintended</t>
  </si>
  <si>
    <t>the system behavior is performed or a result is delivered when not appropriate</t>
  </si>
  <si>
    <t>Early</t>
  </si>
  <si>
    <t>Late</t>
  </si>
  <si>
    <t>More</t>
  </si>
  <si>
    <t>the output/result of the system behavior is higher than intended</t>
  </si>
  <si>
    <t>Less</t>
  </si>
  <si>
    <t>the output/result of the system behavior is lower than intended</t>
  </si>
  <si>
    <t>Inverted</t>
  </si>
  <si>
    <t>the output/result of the system behavior is the opposite of the expected output</t>
  </si>
  <si>
    <t>Intermittent</t>
  </si>
  <si>
    <t>while a system behavior is expected, its output toggles between the expected value and no output</t>
  </si>
  <si>
    <t>Assumptions</t>
  </si>
  <si>
    <t>Ref</t>
  </si>
  <si>
    <t>Category</t>
  </si>
  <si>
    <t>Purpose</t>
  </si>
  <si>
    <t>System Behavior</t>
  </si>
  <si>
    <t>Malfunctioning Behavior</t>
  </si>
  <si>
    <t>Effect on 
System Level</t>
  </si>
  <si>
    <t>Scenario Description: Location</t>
  </si>
  <si>
    <t>Scenario Description: Traffic &amp; non-motorists</t>
  </si>
  <si>
    <t>Scenario Description: Road Conditions</t>
  </si>
  <si>
    <t>Scenario Description: Environmental Conditions</t>
  </si>
  <si>
    <t>Scenario Description: Vehicle Usage</t>
  </si>
  <si>
    <t>Scenario Description: Additional Details/Example/Remarks</t>
  </si>
  <si>
    <t>Effect on Vehicle Level</t>
  </si>
  <si>
    <t>Hazardous Event
(Risk ID)</t>
  </si>
  <si>
    <t>S</t>
  </si>
  <si>
    <t xml:space="preserve">Severity </t>
  </si>
  <si>
    <t>E</t>
  </si>
  <si>
    <t>Exposure</t>
  </si>
  <si>
    <t>C</t>
  </si>
  <si>
    <t>Controllability</t>
  </si>
  <si>
    <t>Timing</t>
  </si>
  <si>
    <t>ASIL</t>
  </si>
  <si>
    <t>Safety Goal</t>
  </si>
  <si>
    <t>Actions</t>
  </si>
  <si>
    <t>Reference to
Open concerns / Action items</t>
  </si>
  <si>
    <t xml:space="preserve">Describe normal System Behavior / Function </t>
  </si>
  <si>
    <t>Function Associated Output</t>
  </si>
  <si>
    <t xml:space="preserve"> Guide Word</t>
  </si>
  <si>
    <t>Describe Effect on 
System Level</t>
  </si>
  <si>
    <t>Reference: see Tab "Situation Dictionary"</t>
  </si>
  <si>
    <t>Usage prior to malfunctioning behavior
Reference: see Tab "Situation Dictionary"</t>
  </si>
  <si>
    <t>Describe the situation including details or examples of situations and additional remarks</t>
  </si>
  <si>
    <t>Describe effect on Vehicle Level</t>
  </si>
  <si>
    <t>Pick corresponding hazard  from Hazard Dictionary</t>
  </si>
  <si>
    <r>
      <t>Reference:
see Tab  "2 - Assumptions"</t>
    </r>
    <r>
      <rPr>
        <i/>
        <sz val="3"/>
        <rFont val="Arial"/>
        <family val="2"/>
      </rPr>
      <t xml:space="preserve">
</t>
    </r>
    <r>
      <rPr>
        <i/>
        <sz val="10"/>
        <rFont val="Arial"/>
        <family val="2"/>
      </rPr>
      <t>(optional)</t>
    </r>
  </si>
  <si>
    <t>Assign a unique name (including situation, malfunction and hazard) and risk id in brackets</t>
  </si>
  <si>
    <r>
      <t>Rationale</t>
    </r>
    <r>
      <rPr>
        <i/>
        <sz val="10"/>
        <rFont val="Arial"/>
        <family val="2"/>
      </rPr>
      <t xml:space="preserve">
(description of reasonable expected consequences, if not obvious)</t>
    </r>
  </si>
  <si>
    <r>
      <t xml:space="preserve">Rationale
</t>
    </r>
    <r>
      <rPr>
        <i/>
        <sz val="10"/>
        <rFont val="Arial"/>
        <family val="2"/>
      </rPr>
      <t xml:space="preserve">
(including description of accident trigger, if not obvious)</t>
    </r>
  </si>
  <si>
    <r>
      <t xml:space="preserve">Rationale
</t>
    </r>
    <r>
      <rPr>
        <i/>
        <sz val="10"/>
        <rFont val="Arial"/>
        <family val="2"/>
      </rPr>
      <t>(including action to avoid harm)</t>
    </r>
  </si>
  <si>
    <t>Estimated Hazard Manifestation Time (s)</t>
  </si>
  <si>
    <t>Rationale</t>
  </si>
  <si>
    <r>
      <t xml:space="preserve">ID
</t>
    </r>
    <r>
      <rPr>
        <sz val="10"/>
        <rFont val="Arial"/>
        <family val="2"/>
      </rPr>
      <t>SGxx</t>
    </r>
  </si>
  <si>
    <t>Safety Goals Overview</t>
  </si>
  <si>
    <t>Description/Text</t>
  </si>
  <si>
    <t>Status</t>
  </si>
  <si>
    <t>Verification Review</t>
  </si>
  <si>
    <t>Execution and Results of Review</t>
  </si>
  <si>
    <t>Date of Review Completion</t>
  </si>
  <si>
    <t>Reviewed Version of HARA</t>
  </si>
  <si>
    <t>Responsible Person for Review</t>
  </si>
  <si>
    <t>Table 1: Verification review table</t>
  </si>
  <si>
    <t>**For ASIL C and D Features, Confirmation reviews are combined with the Functional Safety Assessment Activity. Contact Functional Safety Assessment Team to perform the Confirmation Review and Ford Functional Safety Assessment.</t>
  </si>
  <si>
    <t>**For QM, ASIL A and ASIL B Features the normal review process with I3 Independence shall be followed.</t>
  </si>
  <si>
    <t>Evaluate this document according to the line items and document the status of appropriate completion. The responsible persons for the verification review shall have had an ISO 26262 training and be a domain expert, such as someone from the working team or technical experts on the technology. The Verification review shall be completed with your organization's Application Functional Safety Engineer see:</t>
  </si>
  <si>
    <t>Verification Review Process</t>
  </si>
  <si>
    <t>Completed according to the Guidelines?</t>
  </si>
  <si>
    <t xml:space="preserve">Yes / No </t>
  </si>
  <si>
    <t xml:space="preserve">Did the team working on the HARA include AFSE participation throughout development of the HARA, from each relevant domain in the analysis, so that they can help ensure ratings are consistent across the domains? </t>
  </si>
  <si>
    <t>Hazard Analysis - Complete</t>
  </si>
  <si>
    <t>Are all of the tabs (Cover Page, Revisions, Introduction, Guide Words, Assumptions, HARA, and SGs) filled out and complete?</t>
  </si>
  <si>
    <t>Hazard Analysis - Situations</t>
  </si>
  <si>
    <t>Are all of the situations used in the HARA part of the Ford Situation Dictionary?</t>
  </si>
  <si>
    <t>For any situations created specifically for this project, was there something unique about this item that warranted creating a new situation?</t>
  </si>
  <si>
    <t>Did any new situation go through the proper situation approval process?</t>
  </si>
  <si>
    <t>Hazard Analysis - Hazards</t>
  </si>
  <si>
    <t>Are all of the hazards used in the HARA part of the Ford Hazard Dictionary?</t>
  </si>
  <si>
    <t>For any hazards created specifically for this project, was there something unique about this item that warranted creating a new hazard?</t>
  </si>
  <si>
    <t>Did any new hazard go through the proper hazard approval process?</t>
  </si>
  <si>
    <t>Hazard Analysis - Guide Words</t>
  </si>
  <si>
    <t>All in-scope functionality in the Item Definition / Feature Document is considered and malfunctioning behaviour (failure mode) consideration is sound.</t>
  </si>
  <si>
    <t>Guidewords are appropriately defined according to the system behavior of the item</t>
  </si>
  <si>
    <t>Hazard Analysis - Assumptions</t>
  </si>
  <si>
    <t xml:space="preserve">Assumptions listed in Tab "Assumptions" are reasonable </t>
  </si>
  <si>
    <t>Hazard Analysis - Hazard Analysis  &amp; Risk Assessment</t>
  </si>
  <si>
    <r>
      <t xml:space="preserve">Lessons learned (documented in the Feature Document) or already known safety requirements (documented in the Item Definition) from previous development or related Items were considered to check the completeness of the Safety Goals and assumptions.
</t>
    </r>
    <r>
      <rPr>
        <i/>
        <sz val="8"/>
        <rFont val="Arial"/>
        <family val="2"/>
      </rPr>
      <t>Note: This  is not applicable, e.g., if there are no lessons learned from related Items. In these cases, insert “yes”.</t>
    </r>
  </si>
  <si>
    <r>
      <t xml:space="preserve">All pertinent situations (operational situations, system/operating modes,  use cases, and environmental conditions) or their combinations in which the malfunctioning behavior can lead to a hazardous event are considered. All situations are from the situation dictionary. If multiple situations are in a single cell they are treated as an AND of the situations in the cell.
</t>
    </r>
    <r>
      <rPr>
        <i/>
        <sz val="8"/>
        <rFont val="Arial"/>
        <family val="2"/>
      </rPr>
      <t>Note: Tab 5a (generated by a macro) can be used to support this review activity. This tab can be used to check that for each malfunctioning behavior, all relevant situations (or their combinations) are considered, and/or for all situations (or their combinations), all relevant malfunctioning behaviors are considered.
Note: A complete factorial of all operational situations is not required, but all of the important situations that could affect the ASIL for a hazard should be covered.</t>
    </r>
  </si>
  <si>
    <r>
      <t xml:space="preserve">Considered situations are reasonable and consistent with the Item Definition / Feature Document
</t>
    </r>
    <r>
      <rPr>
        <i/>
        <sz val="8"/>
        <rFont val="Arial"/>
        <family val="2"/>
      </rPr>
      <t>Note: Tab 5a (generated by a macro) can be used to support this review activity.</t>
    </r>
  </si>
  <si>
    <t>The item has been evaluated without any internal safety mechanisms.
If the item is being reused or safety mechanisms are intended to be implemented, then all existing safety mechanisms are excluded from the analysis.</t>
  </si>
  <si>
    <t>The number of vehicles equipped with the item are not considered when estimating the probability of Exposure.</t>
  </si>
  <si>
    <t>Hazard are identified, S, E and C classification is reasonable, based on global averages (not worst case) and consistent.</t>
  </si>
  <si>
    <t>ASILs are determined
S, E and C classifications have been reviewed and are consistent with the ratings from the domain that has expertise in the hazard (Powertrain, EESE, Chassis, Body). For example: Unintended Acceleration hazard reviewed by Powertrain, and Unintended Self-Steer hazard reviewed by Chassis.
(see column "verification review" in 3 - Hazard A. &amp; Risk Assessment)</t>
  </si>
  <si>
    <t>Severity is based on average harm and it is consistent with the Guidance for ISO 26262 HARA Assessments of SEC. Have severity ratings been reviewed by ASO when there was questions on the likely average harm?</t>
  </si>
  <si>
    <t>Do the systems mechanical and electrical capabilities represent the system for which the controllability ratings were evaluated?</t>
  </si>
  <si>
    <t>If there are further actions needed to reevaluate the controllability ratings once a representative system is available, have they been documented in the Further Actions / Decisions section below?</t>
  </si>
  <si>
    <t>Any assumptions that effect SEC are listed in the assumptions tab</t>
  </si>
  <si>
    <t>Each QM hazard has been reviewed with the Feature Owner so that it can be included in a FMEA or a requirement can be derived.</t>
  </si>
  <si>
    <t>The Hazardous Events in Tab 3 represent the worst case scenario, ASIL rated events with regards to how quickly the Malfunctioning Behavior leads to the Hazard.</t>
  </si>
  <si>
    <t>Safety Goals are determined 
• The safety goals shall be clear and precise.
• The safety goals shall not contain technical details.
• The safety goals shall be such that they can be implemented by technical means (e.g. avoid referring to non-measurable data)</t>
  </si>
  <si>
    <r>
      <t xml:space="preserve">The Hazardous Events are consistent among comparable items, including ASILs, to have consistent risk assessment across items in the organization
</t>
    </r>
    <r>
      <rPr>
        <i/>
        <sz val="8"/>
        <rFont val="Arial"/>
        <family val="2"/>
      </rPr>
      <t>Note: The shared guidance for S, E, C parameters and SHARA should be used.</t>
    </r>
  </si>
  <si>
    <r>
      <t xml:space="preserve">The ASIL(s) are aligned with supplier.
</t>
    </r>
    <r>
      <rPr>
        <i/>
        <sz val="8"/>
        <rFont val="Arial"/>
        <family val="2"/>
      </rPr>
      <t>Note: ASIL alignment is necessary only if the suppliers have made a HARA on their own
Note: otherwise, alignment of the interfacing document is recommended; depending on the interfacing level, this may be affected Safety Goal, FSR or TSR"
Note: The alignment can be done using the Safety Goals.
Note: It is not necessary to align the wording and the SEC rating.
Note: The alignment is not applicable if no supplier is selected. In these cases, insert “Yes (n/a)” and a comment in ‘Review Exceptions / Deviations / Findings’.
Note: The alignment should only be done with those suppliers with a direct interface to the feature development team
Note: This can be checked using meeting minutes of the supplier</t>
    </r>
    <r>
      <rPr>
        <sz val="8"/>
        <rFont val="Arial"/>
        <family val="2"/>
      </rPr>
      <t xml:space="preserve"> alignment meeting.</t>
    </r>
  </si>
  <si>
    <t>Table 2: Checklist for Hazard Analysis and Risk Assessment verification</t>
  </si>
  <si>
    <t>Review Exceptions / Deviations / Findings</t>
  </si>
  <si>
    <t xml:space="preserve">Further Actions / Decisions
</t>
  </si>
  <si>
    <t>Confirmation Review</t>
  </si>
  <si>
    <t>Level of Independence</t>
  </si>
  <si>
    <t xml:space="preserve">Table 3: Confirmation review table </t>
  </si>
  <si>
    <t>Evaluate this document according to the line items and document the status of appropriate completion. The responsible persons for the confirmation review shall be an ISO 26262 expert. See:</t>
  </si>
  <si>
    <t>Confirmation Review Process</t>
  </si>
  <si>
    <t>Aligned with ISO 26262?
(Goal: 
1. Judge whether the results of HARA and the methods used are convincing and are supported by rationales
2. Judge whether the safety goals cover all identified hazardous events that are classified with an ASIL)</t>
  </si>
  <si>
    <t>Yes / No</t>
  </si>
  <si>
    <t>All guide Words for a system behavior that do not yield a Malfunctioning Behavior shall be captured as "Not Applicable" with a rationale in the Guide Words tab if not obvious</t>
  </si>
  <si>
    <t xml:space="preserve"> Hazard Analysis &amp; Risk Assessment - Assumptions</t>
  </si>
  <si>
    <t>All  assumptions in Hazard Analysis &amp; Risk Assessment are documented in Tab "2 - Assumptions"</t>
  </si>
  <si>
    <t xml:space="preserve"> Hazard Analysis &amp; Risk Assessment - Hazard &amp; Risk Assessment</t>
  </si>
  <si>
    <t>Each system behavior in the Item Definition / Feature Document is clearly defined (unambiguous) and included in the Guide Words.</t>
  </si>
  <si>
    <t>All malfunctioning behaviors defined on the Guidewords tab are used in the HARA</t>
  </si>
  <si>
    <t>A verification review is signed-off</t>
  </si>
  <si>
    <t xml:space="preserve">Scenario descriptions captured in the HARA cover the operating modes, operating scenarios and use cases described in the Item Definition / Feature Document </t>
  </si>
  <si>
    <t>Hazards are identified, Hazardous Events are classified and ASILs are determined systematically based on identified Malfunctioning Behaviors described in the Guide Words tab
(Column "confirmation review" in 3 - Hazard A. &amp; Risk Assessment  is filled out as complete for each Hazardous Event)</t>
  </si>
  <si>
    <r>
      <t xml:space="preserve">Rationales of the determined S, E, C parameters are appropriate and consistent between Hazardous Events 
</t>
    </r>
    <r>
      <rPr>
        <i/>
        <sz val="8"/>
        <rFont val="Arial"/>
        <family val="2"/>
      </rPr>
      <t>Note: The shared guidances for S, E, C parameters and sharded HARA should be used.</t>
    </r>
  </si>
  <si>
    <r>
      <t xml:space="preserve">The Hazardous Events are consistent among comparable items, including ASILs, to have consistent risk assessment across items in the organization
</t>
    </r>
    <r>
      <rPr>
        <i/>
        <sz val="8"/>
        <rFont val="Arial"/>
        <family val="2"/>
      </rPr>
      <t>Note: The shared guidances for S, E, C parameters and sharded HARA should be used.</t>
    </r>
  </si>
  <si>
    <t xml:space="preserve">Each Hazardous Event rated ASIL A-D has an Estimated Hazard Manifestation Time and Rationale statement. </t>
  </si>
  <si>
    <t>The rationales are documented in the 4 - SGs tab for all Safety Goals that avoids unreasonable risk for all identified Hazardous Events.</t>
  </si>
  <si>
    <t>Are all sections of the template filled out appropriately, or otherwise contain a valid explanation stating why the section is not necessary?</t>
  </si>
  <si>
    <t>Table 4: Checklist for Hazard Analysis &amp; Risk Assessment confirmation</t>
  </si>
  <si>
    <t>FFSD</t>
  </si>
  <si>
    <t>Ford Functional Safety Document</t>
  </si>
  <si>
    <t>Severity</t>
  </si>
  <si>
    <t>Incremental Severity</t>
  </si>
  <si>
    <t xml:space="preserve">Describe the potential outcome of accidents caused by the hazardous event (reasonable expected consequences). Consider reasonable sequences of events for the situation being evaluated. This is not necessarily worst case but the expected outcome. Do not put a comment about the extent of the expected injuries.
Examples:
• Potential front collision with another vehicle at high speed
• Potential side collision with another vehicle at medium speed with crossing traffic
• Potential low speed collision with a non-motorist
</t>
  </si>
  <si>
    <r>
      <t xml:space="preserve">There are operational situations that result in harm (e.g. an accident). A subsequent malfunctioning behaviour of the item in such an operational situation can increase, or fail to decrease, the resulting harm. In this case the classification of the severity may be limited to the difference between the severity caused by the initial operational situation (e.g. the accident) and the malfunctioning behaviour of the item.
At Ford, this method of specifying severity is called </t>
    </r>
    <r>
      <rPr>
        <b/>
        <sz val="8"/>
        <rFont val="Arial"/>
        <family val="2"/>
      </rPr>
      <t>Incremental Severity</t>
    </r>
    <r>
      <rPr>
        <sz val="8"/>
        <rFont val="Arial"/>
        <family val="2"/>
      </rPr>
      <t xml:space="preserve">, where the severity rating is the incremental amount of harm the malfunction introduces to the harm present in the scenario under normal operation. 
</t>
    </r>
    <r>
      <rPr>
        <b/>
        <sz val="8"/>
        <rFont val="Arial"/>
        <family val="2"/>
      </rPr>
      <t xml:space="preserve">Scenarios that are candidates for incremental severity have the both of the following characteristics:
1) Harm must exist within the scenario for a system behavior under normal/correct operation
2) The malfunction of the system behavior in the scenario  introduces a potential difference in the harm  </t>
    </r>
    <r>
      <rPr>
        <sz val="8"/>
        <rFont val="Arial"/>
        <family val="2"/>
      </rPr>
      <t xml:space="preserve">
</t>
    </r>
    <r>
      <rPr>
        <b/>
        <sz val="8"/>
        <rFont val="Arial"/>
        <family val="2"/>
      </rPr>
      <t>The usage of incremental severity in a HARA is to be evaluated on a case-by-case basis at the Functional Safety Technical Governance Board meeting, to avoid artificially reducing ASIL ratings. 
If you wish to use Incremental Severity, contact your local Application Functional Safety Engineer (AFSE) for awareness and to be placed on the TGB agenda for approval.</t>
    </r>
  </si>
  <si>
    <t>Class</t>
  </si>
  <si>
    <t>S0</t>
  </si>
  <si>
    <t>S1</t>
  </si>
  <si>
    <t>S2</t>
  </si>
  <si>
    <t>S3</t>
  </si>
  <si>
    <t xml:space="preserve">No injuries </t>
  </si>
  <si>
    <t>light and moderate injuries</t>
  </si>
  <si>
    <t>Severe injuries, possibly life-threatening, survival probable</t>
  </si>
  <si>
    <t>Life-threatening injuries (survival uncertain) or fatal injuries</t>
  </si>
  <si>
    <r>
      <t xml:space="preserve">Informative Examples
</t>
    </r>
    <r>
      <rPr>
        <i/>
        <sz val="9"/>
        <rFont val="Arial"/>
        <family val="2"/>
      </rPr>
      <t>Note: This examples base on ISO 26262, but are modified by the Ford Global Functional Safety Team.</t>
    </r>
    <r>
      <rPr>
        <b/>
        <sz val="9"/>
        <rFont val="Arial"/>
        <family val="2"/>
      </rPr>
      <t xml:space="preserve">
These values are not absolute values. They should not be blindly followed. They must be adjusted by the team performing the Hazard Analysis according to the application, experience and market. The chosen value shall be justified.
</t>
    </r>
  </si>
  <si>
    <t>Informative examples</t>
  </si>
  <si>
    <t>Bumps with roadside infrastructure</t>
  </si>
  <si>
    <t xml:space="preserve">Side impact with a narrow stationary object, e.g. crashing into a tree (impact to passenger cell) with very low speed </t>
  </si>
  <si>
    <t xml:space="preserve">Side impact with a narrow stationary object, e.g. crashing into a tree (impact to passenger cell) with low speed </t>
  </si>
  <si>
    <t xml:space="preserve">Side impact with a narrow stationary object, e.g. crashing into a tree (impact to passenger cell) with medium  speed </t>
  </si>
  <si>
    <t>Illustrative Example(s) of Incremental Severity</t>
  </si>
  <si>
    <t>Pushing over roadside post, fence, etc.</t>
  </si>
  <si>
    <t>Side collision with a passenger car (e.g. intrudes upon passenger compartment) with low speed</t>
  </si>
  <si>
    <t>Side collision with a passenger car (e.g. intrudes upon passenger compartment) with medium speed</t>
  </si>
  <si>
    <t>Side collision with a passenger car (e.g. intrudes upon passenger compartment) with high speed</t>
  </si>
  <si>
    <t>Example 1 
(Air Bag example)</t>
  </si>
  <si>
    <t>Item: Air Bag
Scenario: Low speed front collision with another passenger car
Malfunction: No deployment of air bag
Incremental Severity Rationale &amp; calculation: 
Harm exists in collision scenario under ideal operation (S1), malfunction of Airbag system resulting in no deployment increases potential severity in the collision scenario  (S3), Use incremental severity.
Ideal Operation Severity (S_i): S1 
Severity with Malfunction (S_m): S3 
Incremental Severity = S_m - S_i  = S3 - S1 = S2 incremental severity</t>
  </si>
  <si>
    <t xml:space="preserve">Notes on Usage:
1)  Incremental Severity must be proposed and approved by Functional Safety TGB
2) In the severity rationale, the explanation of the ideal operation and malfunction severity must be given, not just the final result.
3) Technical SME knowledge and data should drive the estimated severity and appropriate rationale available
See Example Below (for Example 1): </t>
  </si>
  <si>
    <t>Light collision</t>
  </si>
  <si>
    <t>Rear/front collision with another passenger car with  low speed</t>
  </si>
  <si>
    <t>Rear/front collision with another passenger car with  medium speed</t>
  </si>
  <si>
    <t>Rear/front collision with another passenger car with  high speed</t>
  </si>
  <si>
    <t>Light grazing damage</t>
  </si>
  <si>
    <t>Collision with minimal vehicle overlap (10-20%)</t>
  </si>
  <si>
    <t>Damage entering/exiting parking space</t>
  </si>
  <si>
    <t>Leaving the road without collision or rollover</t>
  </si>
  <si>
    <t>Non-motorist accident while turning (city intersection and streets)</t>
  </si>
  <si>
    <t>Non-motorist accident (e.g., 2-lane road)</t>
  </si>
  <si>
    <t>Driver lacks airbag protection.
 Incremental severity rationale used (S3-S1=S2).
 Collision low speed w/o airbag = S3
 Collision low speed with airbag = S1</t>
  </si>
  <si>
    <t>Front collision (e.g., rear-ending another vehicle, semi-truck, etc.) without passenger compartment deformation</t>
  </si>
  <si>
    <t>Front collision (e.g., rear-ending another vehicle, semi-truck, etc.) with passenger compartment deformation</t>
  </si>
  <si>
    <t>Description of the AIS stages</t>
  </si>
  <si>
    <t xml:space="preserve">To describe the severity the AIS (Abbreviated Injury Scale) classification is used. The AIS represents a classification of the severity of injuries and is issued by AAAM (Association for the Advancement of Automotive Medicine). 
The following guidelines were created to enable an international comparison of the severity: </t>
  </si>
  <si>
    <t>AIS 0: no injuries.</t>
  </si>
  <si>
    <t>AIS 1: light injuries such as skin-deep wounds, muscle pains, whiplash etc.</t>
  </si>
  <si>
    <t>AIS 2: moderate injuries such as deep flesh wounds, concussion with up to 15 minutes of unconsciousness, uncomplicated long bone fractures, uncomplicated rib fractures etc.</t>
  </si>
  <si>
    <t>AIS 3: severe but not life-threatening injuries such as skull fractures without brain injury, spinal dislocations below the fourth cervical vertebra without damage to the spinal cord, more than one fractured rib without paradoxical breathing etc.</t>
  </si>
  <si>
    <t>AIS 4: severe injuries (life-threatening, survival probable) such as concussion with or without skull fractures with up to 12 hours of unconsciousness, paradoxical breathing.</t>
  </si>
  <si>
    <t>AIS 5: critical injuries (life-threatening, survival uncertain) such as spinal fractures below the fourth cervical vertebra with damage to the spinal cord, intestinal tears, cardiac tears, more than 12 hours of unconsciousness including intracranial bleed</t>
  </si>
  <si>
    <t>AIS 6: extremely critical or fatal injuries such as fractures of the cervical vertebrae above the third cervical vertebra with damage to the spinal cord, extremely critical open wounds of body cavities (thoracic and abdominal cavities) etc.</t>
  </si>
  <si>
    <t>The probability of exposure of each operational situation shall be estimated based on a defined rationale for each hazardous event. The probability of exposure shall be assigned to one of the probability classes, E0, E1, E2, E3 or E4</t>
  </si>
  <si>
    <t>E0</t>
  </si>
  <si>
    <t>E1</t>
  </si>
  <si>
    <t>E2</t>
  </si>
  <si>
    <t>E3</t>
  </si>
  <si>
    <t>E4</t>
  </si>
  <si>
    <t>Incredible</t>
  </si>
  <si>
    <t>Very low probability</t>
  </si>
  <si>
    <t>Low probability</t>
  </si>
  <si>
    <t>Medium probability</t>
  </si>
  <si>
    <t>High probability</t>
  </si>
  <si>
    <t>The exposure (E) to a hazard can be estimated in two ways. The first is based on the duration of a situation and the second is based on the frequency in which a situation is encountered.</t>
  </si>
  <si>
    <r>
      <t xml:space="preserve">Definitions
</t>
    </r>
    <r>
      <rPr>
        <b/>
        <sz val="14"/>
        <rFont val="Arial"/>
        <family val="2"/>
      </rPr>
      <t xml:space="preserve">Duration: </t>
    </r>
    <r>
      <rPr>
        <sz val="14"/>
        <rFont val="Arial"/>
        <family val="2"/>
      </rPr>
      <t xml:space="preserve">Proportion of time spent in the operational situation compared to the total operating time (fraction of time)
</t>
    </r>
    <r>
      <rPr>
        <b/>
        <sz val="14"/>
        <rFont val="Arial"/>
        <family val="2"/>
      </rPr>
      <t>Frequency:</t>
    </r>
    <r>
      <rPr>
        <sz val="14"/>
        <rFont val="Arial"/>
        <family val="2"/>
      </rPr>
      <t xml:space="preserve"> Frequency of occurrence of an operational situation (No. of occurrences within a time period)</t>
    </r>
  </si>
  <si>
    <t>Guideline for Estimate</t>
  </si>
  <si>
    <t>Duration (% of average operating time)</t>
  </si>
  <si>
    <t>&lt;0.1%</t>
  </si>
  <si>
    <t>&lt;1%</t>
  </si>
  <si>
    <t>1%-10%</t>
  </si>
  <si>
    <t>&gt;10%</t>
  </si>
  <si>
    <t>Frequency of operational situation</t>
  </si>
  <si>
    <t>Situations which are considered to be unusual or incredible. 
E.g. natural disasters like earthquake, hurricane, forest fire</t>
  </si>
  <si>
    <t>Occur less often than once a year for the great majority of drivers</t>
  </si>
  <si>
    <t>Occur a few times a year for the great majority of drivers</t>
  </si>
  <si>
    <t>Occur once a `month or more often for an average driver</t>
  </si>
  <si>
    <t>Occur during almost every drive on average</t>
  </si>
  <si>
    <r>
      <t xml:space="preserve">In general, an operational situation should be analyzed using </t>
    </r>
    <r>
      <rPr>
        <b/>
        <sz val="12"/>
        <rFont val="Arial"/>
        <family val="2"/>
      </rPr>
      <t>duration</t>
    </r>
    <r>
      <rPr>
        <sz val="12"/>
        <rFont val="Arial"/>
        <family val="2"/>
      </rPr>
      <t xml:space="preserve">. </t>
    </r>
    <r>
      <rPr>
        <b/>
        <sz val="12"/>
        <rFont val="Arial"/>
        <family val="2"/>
      </rPr>
      <t>Frequency</t>
    </r>
    <r>
      <rPr>
        <sz val="12"/>
        <rFont val="Arial"/>
        <family val="2"/>
      </rPr>
      <t xml:space="preserve"> should only be used as an exception. The exposure ratings based on duration and frequency may not be the same, so </t>
    </r>
    <r>
      <rPr>
        <b/>
        <sz val="12"/>
        <rFont val="Arial"/>
        <family val="2"/>
      </rPr>
      <t>the most appropriate exposure category (duration vs frequency) has to be selected for the analysis</t>
    </r>
    <r>
      <rPr>
        <sz val="12"/>
        <rFont val="Arial"/>
        <family val="2"/>
      </rPr>
      <t xml:space="preserve"> of the considered operational situation.</t>
    </r>
  </si>
  <si>
    <t xml:space="preserve">When to use which estimation strategy for Exposure [Duration or Frequency] ?
Malfunctions usually do not lead to a hazardous event under all operational conditions but  only in some critical operational situations.
Most malfunctions need to occur in coincidence with the critical situation because if they occur before
 - the driver may notice the effect of the malfunction and can react accordingly to avoid the critical situation
 - the effect on vehicle level of the malfunction may prevent coming into the critical situation
Then the exposure is analysed and rated according to the duration of the operational situation.
Some malfunctions can occur prior to the critical situation without
 - being recognized by the driver
 - having an effect that prevents coming into critical situations
but they lead to a hazardous event as soon as the critical operational situation is entered.
Then the exosure is analysed and rated according to the frequency of the operational situation. 
</t>
  </si>
  <si>
    <r>
      <rPr>
        <b/>
        <sz val="16"/>
        <rFont val="Calibri"/>
        <family val="2"/>
        <scheme val="minor"/>
      </rPr>
      <t>Situation: Driving in reverse from/in a parking lot</t>
    </r>
    <r>
      <rPr>
        <sz val="16"/>
        <rFont val="Calibri"/>
        <family val="2"/>
        <scheme val="minor"/>
      </rPr>
      <t xml:space="preserve">
</t>
    </r>
    <r>
      <rPr>
        <b/>
        <u/>
        <sz val="16"/>
        <rFont val="Calibri"/>
        <family val="2"/>
        <scheme val="minor"/>
      </rPr>
      <t>Duration Calculation:</t>
    </r>
    <r>
      <rPr>
        <sz val="16"/>
        <rFont val="Calibri"/>
        <family val="2"/>
        <scheme val="minor"/>
      </rPr>
      <t xml:space="preserve">
</t>
    </r>
    <r>
      <rPr>
        <b/>
        <u/>
        <sz val="16"/>
        <rFont val="Calibri"/>
        <family val="2"/>
        <scheme val="minor"/>
      </rPr>
      <t>Duration: 1%-10%</t>
    </r>
    <r>
      <rPr>
        <sz val="16"/>
        <rFont val="Calibri"/>
        <family val="2"/>
        <scheme val="minor"/>
      </rPr>
      <t xml:space="preserve">  =  </t>
    </r>
    <r>
      <rPr>
        <b/>
        <u/>
        <sz val="16"/>
        <rFont val="Calibri"/>
        <family val="2"/>
        <scheme val="minor"/>
      </rPr>
      <t>Exposure Rating = E3</t>
    </r>
    <r>
      <rPr>
        <sz val="16"/>
        <rFont val="Calibri"/>
        <family val="2"/>
        <scheme val="minor"/>
      </rPr>
      <t xml:space="preserve">
</t>
    </r>
    <r>
      <rPr>
        <b/>
        <u/>
        <sz val="16"/>
        <rFont val="Calibri"/>
        <family val="2"/>
        <scheme val="minor"/>
      </rPr>
      <t>Frequency Calculation:</t>
    </r>
    <r>
      <rPr>
        <sz val="16"/>
        <rFont val="Calibri"/>
        <family val="2"/>
        <scheme val="minor"/>
      </rPr>
      <t xml:space="preserve">
How often the vehicle is in the related situation ?
</t>
    </r>
    <r>
      <rPr>
        <b/>
        <u/>
        <sz val="16"/>
        <rFont val="Calibri"/>
        <family val="2"/>
        <scheme val="minor"/>
      </rPr>
      <t>Frequency:</t>
    </r>
    <r>
      <rPr>
        <sz val="16"/>
        <rFont val="Calibri"/>
        <family val="2"/>
        <scheme val="minor"/>
      </rPr>
      <t xml:space="preserve"> Almost every drive cycle = </t>
    </r>
    <r>
      <rPr>
        <b/>
        <u/>
        <sz val="16"/>
        <rFont val="Calibri"/>
        <family val="2"/>
        <scheme val="minor"/>
      </rPr>
      <t>Exposure Rating = E4</t>
    </r>
    <r>
      <rPr>
        <sz val="16"/>
        <rFont val="Calibri"/>
        <family val="2"/>
        <scheme val="minor"/>
      </rPr>
      <t xml:space="preserve">
</t>
    </r>
  </si>
  <si>
    <t>Example (Duration Vs Frequency)</t>
  </si>
  <si>
    <r>
      <rPr>
        <b/>
        <sz val="20"/>
        <rFont val="Calibri"/>
        <family val="2"/>
        <scheme val="minor"/>
      </rPr>
      <t>AIRBAG FEATURE</t>
    </r>
    <r>
      <rPr>
        <sz val="16"/>
        <rFont val="Calibri"/>
        <family val="2"/>
        <scheme val="minor"/>
      </rPr>
      <t xml:space="preserve">
</t>
    </r>
    <r>
      <rPr>
        <i/>
        <sz val="16"/>
        <rFont val="Calibri"/>
        <family val="2"/>
        <scheme val="minor"/>
      </rPr>
      <t xml:space="preserve">
</t>
    </r>
    <r>
      <rPr>
        <b/>
        <i/>
        <u/>
        <sz val="16"/>
        <rFont val="Calibri"/>
        <family val="2"/>
        <scheme val="minor"/>
      </rPr>
      <t>Usage of Frequency strategy</t>
    </r>
    <r>
      <rPr>
        <sz val="16"/>
        <rFont val="Calibri"/>
        <family val="2"/>
        <scheme val="minor"/>
      </rPr>
      <t xml:space="preserve">
</t>
    </r>
    <r>
      <rPr>
        <b/>
        <sz val="16"/>
        <rFont val="Calibri"/>
        <family val="2"/>
        <scheme val="minor"/>
      </rPr>
      <t>A malfunctioning behavior in the Airbag feature which prevents Airbag from being deployed during crash (NO Deployment when required) has no effect except in a crash situation. In this case, Frequency strategy shall be used to determine the Exposure rating for the considered situation.</t>
    </r>
    <r>
      <rPr>
        <sz val="16"/>
        <rFont val="Calibri"/>
        <family val="2"/>
        <scheme val="minor"/>
      </rPr>
      <t xml:space="preserve">
</t>
    </r>
    <r>
      <rPr>
        <b/>
        <sz val="16"/>
        <rFont val="Calibri"/>
        <family val="2"/>
        <scheme val="minor"/>
      </rPr>
      <t xml:space="preserve">
Here, the crash situation needs to be evaluated considering Frequency strategy.</t>
    </r>
    <r>
      <rPr>
        <sz val="16"/>
        <rFont val="Calibri"/>
        <family val="2"/>
        <scheme val="minor"/>
      </rPr>
      <t xml:space="preserve">
</t>
    </r>
    <r>
      <rPr>
        <b/>
        <i/>
        <u/>
        <sz val="16"/>
        <rFont val="Calibri"/>
        <family val="2"/>
        <scheme val="minor"/>
      </rPr>
      <t>Usage of Duration strategy</t>
    </r>
    <r>
      <rPr>
        <sz val="16"/>
        <rFont val="Calibri"/>
        <family val="2"/>
        <scheme val="minor"/>
      </rPr>
      <t xml:space="preserve">
</t>
    </r>
    <r>
      <rPr>
        <b/>
        <sz val="16"/>
        <rFont val="Calibri"/>
        <family val="2"/>
        <scheme val="minor"/>
      </rPr>
      <t xml:space="preserve">Un-intended deployment of airbag (malfunctioning behavior) while driving at speed, this malfunctioning behavior causes immediate effect in the situation. In this case, Duration strategy shall be used to determine the Exposure rating for the considered situation.
</t>
    </r>
  </si>
  <si>
    <t>Informative examples (Operational Situations and Exposure ratings)</t>
  </si>
  <si>
    <t>While Exposure classification provide a rationale for the estimated probability. The following structure can be used for the rationale: “&lt;Driving Location&gt; (E#); lower probability of &lt;being in situation&gt; (E#), &lt;Description&gt;”. Examples are:
• Low Speed road (E4); lower probability of overtaking in a lane for oncoming traffic (E2), low probability
• Stopped at an Intersection (E4); lower probability of being lead vehicle at the intersection (E2), low probability
• High Speed road at speed (E4), high probability
Add comment *** (Duration vs Frequency)</t>
  </si>
  <si>
    <t>The probability of exposure can be typically estimated by the proportion of total operating time (ignition on). 
In special cases the total operating time can be the vehicle life-time (including ignition off).”</t>
  </si>
  <si>
    <r>
      <t xml:space="preserve">Informative Examples
</t>
    </r>
    <r>
      <rPr>
        <i/>
        <sz val="11"/>
        <rFont val="Arial"/>
        <family val="2"/>
      </rPr>
      <t xml:space="preserve">Note: This examples base on ISO 26262, but are modified by the Ford Global Functional Safety Team.
</t>
    </r>
    <r>
      <rPr>
        <b/>
        <sz val="11"/>
        <rFont val="Arial"/>
        <family val="2"/>
      </rPr>
      <t xml:space="preserve">
These values are not absolute values. They should not be blindly followed. They must be adjusted by the team performing the Hazard Analysis according to the application, experience and market. The chosen value shall be justified.</t>
    </r>
  </si>
  <si>
    <t>Situation</t>
  </si>
  <si>
    <t>Duration</t>
  </si>
  <si>
    <t>Frequency Calculation</t>
  </si>
  <si>
    <t>Frequency</t>
  </si>
  <si>
    <t>Road Layout</t>
  </si>
  <si>
    <t>Mountain pass with unsecured steep slope</t>
  </si>
  <si>
    <t>&lt;1% (E2)</t>
  </si>
  <si>
    <t>High speed road</t>
  </si>
  <si>
    <t>&gt;10% (E4)</t>
  </si>
  <si>
    <t>Medium speed road</t>
  </si>
  <si>
    <t>Highway entrance ramp</t>
  </si>
  <si>
    <t>Low speed road</t>
  </si>
  <si>
    <t>Very low speed road</t>
  </si>
  <si>
    <t>1%-10% (E3)</t>
  </si>
  <si>
    <t>Highway exit ramp</t>
  </si>
  <si>
    <t>Road Surface</t>
  </si>
  <si>
    <t>Snow or ice on road</t>
  </si>
  <si>
    <t>Wet road</t>
  </si>
  <si>
    <t>Near by elements</t>
  </si>
  <si>
    <t>Vehicle involved in an incident which includes an airplane landing on a highway.</t>
  </si>
  <si>
    <t>In car wash</t>
  </si>
  <si>
    <t>In Tunnel</t>
  </si>
  <si>
    <t>Entering or Nearing end of congestion (highway)</t>
  </si>
  <si>
    <t>Traffic Congestion</t>
  </si>
  <si>
    <t>Vehicle stationary state</t>
  </si>
  <si>
    <t>Vehicle during jump start</t>
  </si>
  <si>
    <t>&lt;0.1% (E1)</t>
  </si>
  <si>
    <t>Trailer attached</t>
  </si>
  <si>
    <t>Vehicle on a hill 
(hill hold)</t>
  </si>
  <si>
    <t>In repair garage</t>
  </si>
  <si>
    <t>Roof rack loading</t>
  </si>
  <si>
    <t>Vehicle being towed</t>
  </si>
  <si>
    <t>Vehicle being refuelled</t>
  </si>
  <si>
    <t>Vehicle Charging (Hybrid/EV Only)</t>
  </si>
  <si>
    <t>Manoeuvre</t>
  </si>
  <si>
    <t xml:space="preserve">Driving in reverse </t>
  </si>
  <si>
    <t>Evasive manoeuvre, deviating from desired path (e.g. pothole, debris)</t>
  </si>
  <si>
    <t>Heavy traffic 
(stop and go)</t>
  </si>
  <si>
    <t>Accelerating</t>
  </si>
  <si>
    <t>Decelerating</t>
  </si>
  <si>
    <t>Shifting transmission gears</t>
  </si>
  <si>
    <t>Overtaking in a lane for oncoming traffic</t>
  </si>
  <si>
    <t xml:space="preserve">Parking </t>
  </si>
  <si>
    <t>Stopped at an intersection</t>
  </si>
  <si>
    <t>Passing through an intersection</t>
  </si>
  <si>
    <t>Using indicators</t>
  </si>
  <si>
    <t>Lane change</t>
  </si>
  <si>
    <t>Creep speed</t>
  </si>
  <si>
    <t>Environment</t>
  </si>
  <si>
    <t>Night Time Driving</t>
  </si>
  <si>
    <t>Notes:</t>
  </si>
  <si>
    <r>
      <t xml:space="preserve">· </t>
    </r>
    <r>
      <rPr>
        <sz val="10"/>
        <rFont val="Arial"/>
        <family val="2"/>
      </rPr>
      <t>The  number of vehicles equipped with the item shall not be considered for the estimation of the probability of exposure.</t>
    </r>
  </si>
  <si>
    <r>
      <t>·</t>
    </r>
    <r>
      <rPr>
        <sz val="10"/>
        <rFont val="Times New Roman"/>
        <family val="1"/>
      </rPr>
      <t>  </t>
    </r>
    <r>
      <rPr>
        <sz val="10"/>
        <rFont val="Arial"/>
        <family val="2"/>
      </rPr>
      <t>The Hazard Analysis and Risk Assessment is performed for individual vehicles equipped with the item. This means that the argument "the probability of exposure can be reduced, because the item is not present in every vehicle (as it is only equipped in a proportion of the vehicles)" is not valid.</t>
    </r>
  </si>
  <si>
    <r>
      <t>·</t>
    </r>
    <r>
      <rPr>
        <sz val="10"/>
        <rFont val="Times New Roman"/>
        <family val="1"/>
      </rPr>
      <t> </t>
    </r>
    <r>
      <rPr>
        <sz val="10"/>
        <rFont val="Arial"/>
        <family val="2"/>
      </rPr>
      <t>The difference in probability from one E classification to the next is an order of magnitude. The order of magnitude means that the duration/ probability of exposure for E2 is around 10% of the duration/ probability of exposure for E3 ( &lt; 1% of average operating time for E2, and 1% - 10% of average operating time for E3).</t>
    </r>
  </si>
  <si>
    <r>
      <t xml:space="preserve">· </t>
    </r>
    <r>
      <rPr>
        <sz val="10"/>
        <rFont val="Arial"/>
        <family val="2"/>
      </rPr>
      <t>The exposure value of E1 or E2 is selected only if a rationale is available for their use, considering each target market for the vehicle. The target market must be considered, because, e.g.,  in some regions snow and ice (see Table 8) does not have a duration of &lt; 1% of average operating time</t>
    </r>
  </si>
  <si>
    <r>
      <t>·</t>
    </r>
    <r>
      <rPr>
        <sz val="10"/>
        <rFont val="Times New Roman"/>
        <family val="1"/>
      </rPr>
      <t>  </t>
    </r>
    <r>
      <rPr>
        <sz val="10"/>
        <rFont val="Arial"/>
        <family val="2"/>
      </rPr>
      <t>The exposure determination is based on a representative sample of customers for the target markets</t>
    </r>
  </si>
  <si>
    <t xml:space="preserve">Provide a rationale for the estimated controllability. The following structure can be used for the rationale: “(All/Almost all/Most/Few) drivers (or other traffic participants) are usually able to avoid the hazard by &lt;actions&gt;, &lt;Description&gt;”. Examples are:
• Almost all drivers will avoid collision by steering back to the vehicle's lane and braking, or oncoming vehicles will be able to manoeuvre out of the way, simply controllable
• Most drivers will detect the vehicle movement and take action by braking and steering prior to collision, normally controllable
• Few drivers or other vehicles are usually able avoid a collision in situations requiring acceleration to achieve safety when no alternate action is possible, difficult to control or uncontrollable
</t>
  </si>
  <si>
    <t>C0</t>
  </si>
  <si>
    <t>C1</t>
  </si>
  <si>
    <t>C2</t>
  </si>
  <si>
    <t>C3</t>
  </si>
  <si>
    <t>Controllable in general</t>
  </si>
  <si>
    <t>Simply Controllable</t>
  </si>
  <si>
    <t>Normally Controllable</t>
  </si>
  <si>
    <t>Difficult to Control or Uncontrollable</t>
  </si>
  <si>
    <r>
      <t xml:space="preserve">Informative Examples
</t>
    </r>
    <r>
      <rPr>
        <i/>
        <sz val="9"/>
        <rFont val="Arial"/>
        <family val="2"/>
      </rPr>
      <t xml:space="preserve">Note: This examples base on ISO 26262, but are modified by the Ford Global Functional Safety Team.
</t>
    </r>
    <r>
      <rPr>
        <b/>
        <sz val="9"/>
        <rFont val="Arial"/>
        <family val="2"/>
      </rPr>
      <t xml:space="preserve">
These values are not absolute values. They should not be blindly followed. They must be adjusted by the team performing the Hazard Analysis according to the application, experience and market. The chosen value shall be justified.</t>
    </r>
  </si>
  <si>
    <t>99% or more of all drivers or other traffic participants are usually able to avoid the harm determined in severity column</t>
  </si>
  <si>
    <t>90% or more of all drivers or other traffic participants are usually able to avoid the harm determined in severity column</t>
  </si>
  <si>
    <t>Less than 90% of all drivers or other traffic participants are usually able, or barely able, able to avoid the harm determined in severity column</t>
  </si>
  <si>
    <t>Situations that are considered distracting</t>
  </si>
  <si>
    <t>Maintain intended driving path</t>
  </si>
  <si>
    <t>Unexpected radio volume increase</t>
  </si>
  <si>
    <t>Warning message - gas low</t>
  </si>
  <si>
    <t>Unavailability of a driver assisting system</t>
  </si>
  <si>
    <t>Faulty adjustment of seat position while driving</t>
  </si>
  <si>
    <t>Brake to slow/stop vehicle</t>
  </si>
  <si>
    <t>Blocked steering column at zero speed</t>
  </si>
  <si>
    <t>Malfunctioning behaviour of ABS during emergency braking</t>
  </si>
  <si>
    <t>Headlights fail while night driving at medium/high speed on unlighted road</t>
  </si>
  <si>
    <t>Steer to side of road or brake to stop.</t>
  </si>
  <si>
    <t>Motor malfunctioning behaviour at high lateral acceleration (motorway exit)</t>
  </si>
  <si>
    <t>Malfunctioning behaviour of ABS when braking on low friction road surface while executing a turn</t>
  </si>
  <si>
    <t>Maintain intended driving path, stay in lane</t>
  </si>
  <si>
    <t>Incorrect steering angle with high angular speed at medium or high vehicle speed (steering angle change not aligned to driver intent)</t>
  </si>
  <si>
    <t>Note: Controllability may depend upon driving / operating scenarios even if the differ from the informative example</t>
  </si>
  <si>
    <t>Note: The evaluation of possibilities of the avoidance of a specific harm, that is the controllability, is an estimation of the probability that the driver or other endangered persons are able to gain control of the hazardous event that is arising and are able to avoid the specific harm. For this purpose, the estimation parameter C is used, with the classes C1, C2 and C3, to classify the potential of avoiding harm. It is assumed that the driver is in an appropriate condition to drive with respect to the general population (for example not exhausted), has the appropriate driver training (has a driver's license) and is complying with legal regulations. However, a reasonably foreseeable misuse is considered.
Note: Where the hazard is not related to the control of the vehicle direction and speed (e.g. contact with moving parts), the controllability can be an estimation of the probability that the person at risk is able to remove themselves, or to be removed by others from the hazardous situation. For example, a service operator could remove themself from coming in contact with the moving part. When considering controllability, note that the person at risk may not be familiar with the operation of the item.</t>
  </si>
  <si>
    <t>ASIL Calculation</t>
  </si>
  <si>
    <r>
      <t xml:space="preserve">TESTTABELLE FÜR ASIL-BEWERTUNG
</t>
    </r>
    <r>
      <rPr>
        <b/>
        <sz val="16"/>
        <rFont val="Arial"/>
        <family val="2"/>
      </rPr>
      <t xml:space="preserve">IN P-HaRa entsprechend einfügen, Formel in ASIL Spalte kopieren und ASIL kontrollieren </t>
    </r>
  </si>
  <si>
    <t>S-
Spalten</t>
  </si>
  <si>
    <t>E-
Spalten</t>
  </si>
  <si>
    <t>C-
Spalten</t>
  </si>
  <si>
    <t>ASIL
Formelchecker</t>
  </si>
  <si>
    <t>SOLL-Ergebnis</t>
  </si>
  <si>
    <t>S0E0</t>
  </si>
  <si>
    <t>hier Formel einfügen</t>
  </si>
  <si>
    <t>S0E1</t>
  </si>
  <si>
    <t>S0E2</t>
  </si>
  <si>
    <t>QM</t>
  </si>
  <si>
    <t>S0E3</t>
  </si>
  <si>
    <t>S0E4</t>
  </si>
  <si>
    <t>S1E0</t>
  </si>
  <si>
    <t>S1E1</t>
  </si>
  <si>
    <t>S1E2</t>
  </si>
  <si>
    <t>S1E3</t>
  </si>
  <si>
    <t>A</t>
  </si>
  <si>
    <t>S1E4</t>
  </si>
  <si>
    <t>B</t>
  </si>
  <si>
    <t>S2E0</t>
  </si>
  <si>
    <t>S2E1</t>
  </si>
  <si>
    <t>S2E2</t>
  </si>
  <si>
    <t>S2E3</t>
  </si>
  <si>
    <t>S2E4</t>
  </si>
  <si>
    <t>S3E0</t>
  </si>
  <si>
    <t>S3E1</t>
  </si>
  <si>
    <t>S3E2</t>
  </si>
  <si>
    <t>S3E3</t>
  </si>
  <si>
    <t>S3E4</t>
  </si>
  <si>
    <t>D</t>
  </si>
  <si>
    <t>Macro documentation</t>
  </si>
  <si>
    <t>This workbook contains three macros that can be used to simplify the work.</t>
  </si>
  <si>
    <t>The macros show up in the Add-Ins tab (Excel 2007 and later).</t>
  </si>
  <si>
    <r>
      <rPr>
        <b/>
        <sz val="10"/>
        <rFont val="Arial"/>
        <family val="2"/>
      </rPr>
      <t xml:space="preserve">MACRO 1: Create Review Situation Sheet
</t>
    </r>
    <r>
      <rPr>
        <sz val="10"/>
        <rFont val="Arial"/>
        <family val="2"/>
      </rPr>
      <t>This macro creates a new sheet named "5a - Review Sit MB (opt)- …", mapping the ASIL classification between the malfunctioning behaviors and situation/scenario description captured within the sheet "3-Hazard..." (within current workbook). This macro can be used to check if the relevant situations are covered by the relevant malfunctioning behavior and vice versa.
(Name of Macro: CreateReviewSituationSheet)</t>
    </r>
  </si>
  <si>
    <r>
      <rPr>
        <b/>
        <sz val="10"/>
        <rFont val="Arial"/>
        <family val="2"/>
      </rPr>
      <t xml:space="preserve">MACRO 2: Open and Create Review Situation Sheet In This Sheet
</t>
    </r>
    <r>
      <rPr>
        <sz val="10"/>
        <rFont val="Arial"/>
        <family val="2"/>
      </rPr>
      <t>This macrocreates a new sheet named "5a - Review Sit MB (opt)- …", mapping the ASIL classification between the malfunctioning behaviors and situation/scenario description in the selected file. This macro can be used to check if the relevant situations are covered by the relevant malfunctioning behavior and vice versa.
(Name of Macro: OpenAndCreateReviewSituationSheet)</t>
    </r>
  </si>
  <si>
    <r>
      <rPr>
        <b/>
        <sz val="10"/>
        <rFont val="Arial"/>
        <family val="2"/>
      </rPr>
      <t>MACRO 3: Refresh ASIL in Tab 4</t>
    </r>
    <r>
      <rPr>
        <sz val="10"/>
        <rFont val="Arial"/>
        <family val="2"/>
      </rPr>
      <t xml:space="preserve">
This macro updates the safety goal tab (named "4 - SGs"). It updates the corresponding ASIL ratings for each hazard it applies to and the overall ASIL (highest among the applicable hazards). 
How to use:
To update the safety goal tab (named "4 - ..."), click on the "Refresh ASIL in 4" button.  (Name of Macro: Max_ASIL)</t>
    </r>
  </si>
  <si>
    <t>Unknown</t>
  </si>
  <si>
    <t>~0</t>
  </si>
  <si>
    <t>0-10ms</t>
  </si>
  <si>
    <t>10-100ms</t>
  </si>
  <si>
    <t>100-500ms</t>
  </si>
  <si>
    <t>500ms-1s</t>
  </si>
  <si>
    <t>1-5s</t>
  </si>
  <si>
    <t>5-10s</t>
  </si>
  <si>
    <t>10-30s</t>
  </si>
  <si>
    <t>30s-1min</t>
  </si>
  <si>
    <t>1-5min</t>
  </si>
  <si>
    <t>5-10min</t>
  </si>
  <si>
    <t>10-30min</t>
  </si>
  <si>
    <t>30min-1h</t>
  </si>
  <si>
    <t>1h-3h</t>
  </si>
  <si>
    <t>3h-1day</t>
  </si>
  <si>
    <t>1day-1week</t>
  </si>
  <si>
    <t>1week-1month</t>
  </si>
  <si>
    <t>1-6months</t>
  </si>
  <si>
    <t>&gt;6 months</t>
  </si>
  <si>
    <t>the system behavior is performed or the result is delivered or stops being delivered too early</t>
  </si>
  <si>
    <t>the system behavior is performed or the result is delivered or stops being delivered too late</t>
  </si>
  <si>
    <r>
      <rPr>
        <b/>
        <sz val="20"/>
        <rFont val="Calibri"/>
        <family val="2"/>
        <scheme val="minor"/>
      </rPr>
      <t>ABS FEATURE</t>
    </r>
    <r>
      <rPr>
        <sz val="16"/>
        <rFont val="Calibri"/>
        <family val="2"/>
        <scheme val="minor"/>
      </rPr>
      <t xml:space="preserve">
</t>
    </r>
    <r>
      <rPr>
        <i/>
        <sz val="16"/>
        <rFont val="Calibri"/>
        <family val="2"/>
        <scheme val="minor"/>
      </rPr>
      <t xml:space="preserve">
</t>
    </r>
    <r>
      <rPr>
        <b/>
        <i/>
        <u/>
        <sz val="16"/>
        <rFont val="Calibri"/>
        <family val="2"/>
        <scheme val="minor"/>
      </rPr>
      <t>Usage of Frequency strategy</t>
    </r>
    <r>
      <rPr>
        <sz val="16"/>
        <rFont val="Calibri"/>
        <family val="2"/>
        <scheme val="minor"/>
      </rPr>
      <t xml:space="preserve">
</t>
    </r>
    <r>
      <rPr>
        <b/>
        <sz val="16"/>
        <rFont val="Calibri"/>
        <family val="2"/>
        <scheme val="minor"/>
      </rPr>
      <t>A malfunctioning behavior in the Anti-Lock Braking System (ABS) feature which prevents wheels from locking up during a hard braking event (NO = the ABS feature does not engage) is not perceivable by the driver until it is required in a hard braking situation where the wheels would lock up (ex: rain, snow, slippery conditions). In this case, Frequency strategy shall be used to determine the Exposure rating for the considered situation.</t>
    </r>
    <r>
      <rPr>
        <sz val="16"/>
        <rFont val="Calibri"/>
        <family val="2"/>
        <scheme val="minor"/>
      </rPr>
      <t xml:space="preserve">
</t>
    </r>
    <r>
      <rPr>
        <b/>
        <sz val="16"/>
        <rFont val="Calibri"/>
        <family val="2"/>
        <scheme val="minor"/>
      </rPr>
      <t xml:space="preserve">
Here, the crash situation needs to be evaluated considering Frequency strategy.</t>
    </r>
    <r>
      <rPr>
        <sz val="16"/>
        <rFont val="Calibri"/>
        <family val="2"/>
        <scheme val="minor"/>
      </rPr>
      <t xml:space="preserve">
</t>
    </r>
    <r>
      <rPr>
        <b/>
        <i/>
        <u/>
        <sz val="16"/>
        <rFont val="Calibri"/>
        <family val="2"/>
        <scheme val="minor"/>
      </rPr>
      <t>Usage of Duration strategy</t>
    </r>
    <r>
      <rPr>
        <sz val="16"/>
        <rFont val="Calibri"/>
        <family val="2"/>
        <scheme val="minor"/>
      </rPr>
      <t xml:space="preserve">
</t>
    </r>
    <r>
      <rPr>
        <b/>
        <sz val="16"/>
        <rFont val="Calibri"/>
        <family val="2"/>
        <scheme val="minor"/>
      </rPr>
      <t xml:space="preserve">Un-intended engagement of ABS (malfunctioning behavior) while driving at speed, this malfunctioning behavior causes an immediate effect perceivable by the driver (in this situation the brakes would be applied to the wheel intermittently based on the ABS modulator, this would result in a reduction in speed of the vehicle without any input from the driver). In this case, Duration strategy shall be used to determine the Exposure rating for the considered situation.
</t>
    </r>
  </si>
  <si>
    <t>Definitions</t>
  </si>
  <si>
    <t>Insert Definitions used in this document, maybe reference to separate list.</t>
  </si>
  <si>
    <t>Abbreviations and Acronyms</t>
  </si>
  <si>
    <t>Insert Abbreviations and Acronyms used in this document, maybe reference to separate list. Commonly used abbreviations (e.g., ECU) should be left out.</t>
  </si>
  <si>
    <t>Not Reviewed / In Progress / Completed</t>
  </si>
  <si>
    <r>
      <t xml:space="preserve">Confirmation Review Comment </t>
    </r>
    <r>
      <rPr>
        <sz val="10"/>
        <rFont val="Arial"/>
        <family val="2"/>
      </rPr>
      <t>(optional)</t>
    </r>
  </si>
  <si>
    <t>Functional Safety Owner</t>
  </si>
  <si>
    <t>Feature Owner</t>
  </si>
  <si>
    <t>Result</t>
  </si>
  <si>
    <t>Link to confirmation review JIRA</t>
  </si>
  <si>
    <t>Are controllability assumptions defined and referenced where implied in the controllability rationale?
(e.g. driver may react and steer excessively)</t>
  </si>
  <si>
    <r>
      <t xml:space="preserve">Reference to corresponding documentation </t>
    </r>
    <r>
      <rPr>
        <sz val="10"/>
        <rFont val="Arial"/>
        <family val="2"/>
      </rPr>
      <t xml:space="preserve">
(e.g., owner’s manual, other Hazard Analyses &amp; Risk Assessment [FFSD02], production plan, engineering specification)
(required if no FFSD03 is created)</t>
    </r>
  </si>
  <si>
    <t>If no FFSD03 FSC is created: For all assumptions, a reference is given.</t>
  </si>
  <si>
    <r>
      <t xml:space="preserve">Verification Review Status
</t>
    </r>
    <r>
      <rPr>
        <sz val="10"/>
        <rFont val="Arial"/>
        <family val="2"/>
      </rPr>
      <t>(optional)</t>
    </r>
  </si>
  <si>
    <r>
      <t xml:space="preserve">Verification Review Comment </t>
    </r>
    <r>
      <rPr>
        <sz val="10"/>
        <rFont val="Arial"/>
        <family val="2"/>
      </rPr>
      <t xml:space="preserve">
(optional)</t>
    </r>
  </si>
  <si>
    <t>Global Functional Safety Technical Forum</t>
  </si>
  <si>
    <t>2022.2</t>
  </si>
  <si>
    <t xml:space="preserve">Safety Goals are determined
• Each safety goal shall have an unique identifier: e.g. "SG XX"
• Only one safety goal shall be assigned to each hazard rated as ASIL A, B, C or D. 
• The Safety goal ASIL shall be the highest ASIL of hazardous event the safety goal is assigned to. </t>
  </si>
  <si>
    <t>File Name + (VDOC ID or for GTDS, link to document location)</t>
  </si>
  <si>
    <t>Note: List the people that complete (not start) a verification review of the HARA with corresponding completion date and HARA version. Multiple people may be listed in a single row if they complete the review at the same day and based on the same version.
Note: For more information on how to complete the verification review, and the key stakeholders to invite, please visit the Functional Safety STAGES page and browse the 'Verification Review Process' link: https://bd101001.pd2.ford.com/stages/#/workspace/148/_vv/process/guidance/_EO-bsJy7GTe7VNS3CRV4jA 
Note: Verification review of FFSDs are required before moving into the next milestone in GTDS/GPDS if the document has been modified and is to be released in the current milestone.</t>
  </si>
  <si>
    <t>Note: List the people that complete (not start) a confirmation review of the HARA with corresponding completion date and HARA version. Multiple people may be listed in a single row if they complete the review at the same day and based on the same version.
Note: For more information on how to complete the confirmation review, and the key stakeholders to invite, please visit the Functional Safety STAGES page and browse the 'Confirmation Review Process' link: https://bd101001.pd2.ford.com/stages/#/workspace/148/_vv/process/guidance/_5wqmIHSFGyy7VNS3CRV4jA
Note: Independence should be used as follows:
I3:   the confirmation measure shall be performed, by a person who reports to a separate Department Manager and was not involved in creation of the work product.
Note: Confirmation review of FFSDs are required before moving into the next milestone in GTDS/GPDS if the document has been finalized in the current milestone.</t>
  </si>
  <si>
    <r>
      <t xml:space="preserve">Are there defined and referenced explicit assumptions for all implicit assumptions in the controllability rationale column?
</t>
    </r>
    <r>
      <rPr>
        <i/>
        <sz val="8"/>
        <rFont val="Arial"/>
        <family val="2"/>
      </rPr>
      <t>Note: consider as an Implicit Assumptions only those related to functionality or technology available on the vehicle used by the driver to avoid a hazardous situation from occurring (e.g. vehicle geometry for viewing out the vehicle, another Driver Assist Technology Feature with independence etc).</t>
    </r>
  </si>
  <si>
    <t>Any location / Not relevant (S01-000001/B)</t>
  </si>
  <si>
    <t>Parking (S01-000003/A)</t>
  </si>
  <si>
    <t>Off-road (S01-000017/A)</t>
  </si>
  <si>
    <t>Intersection (S01-000011/A)</t>
  </si>
  <si>
    <t>Car wash (S01-000196/A)</t>
  </si>
  <si>
    <t>Remote (S01-000178/A)</t>
  </si>
  <si>
    <t>Vehicle on transport (S01-000195/A)</t>
  </si>
  <si>
    <t>Service (S01-000197/A)</t>
  </si>
  <si>
    <t>Track (S01-000260/A)</t>
  </si>
  <si>
    <t>S01-000025/A</t>
  </si>
  <si>
    <t>Any traffic / Not relevant (S01-000025/A)</t>
  </si>
  <si>
    <t>S01-000026/A</t>
  </si>
  <si>
    <t>Traffic: free flow (S01-000026/A)</t>
  </si>
  <si>
    <t>S01-000027/A</t>
  </si>
  <si>
    <t>Traffic: synchronized flow (S01-000027/A)</t>
  </si>
  <si>
    <t>S01-000028/A</t>
  </si>
  <si>
    <t>Traffic: wide moving jam (S01-000028/A)</t>
  </si>
  <si>
    <t>S01-000029/A</t>
  </si>
  <si>
    <t>High speed difference (S01-000029/A)</t>
  </si>
  <si>
    <t>S01-000041/A</t>
  </si>
  <si>
    <t>Driver in the vehicle (S01-000041/A)</t>
  </si>
  <si>
    <t>Passenger(s) in vehicle (S01-000042/A)</t>
  </si>
  <si>
    <t>S01-000044/A</t>
  </si>
  <si>
    <t>Non-motorist around or in path of the vehicle (S01-000044/A)</t>
  </si>
  <si>
    <t>S01-000049/A</t>
  </si>
  <si>
    <t>Person leaving or entering the vehicle (S01-000049/A)</t>
  </si>
  <si>
    <t>S01-000220/A</t>
  </si>
  <si>
    <t>Driver not in vehicle (S01-000220/A)</t>
  </si>
  <si>
    <t>S01-000052/A</t>
  </si>
  <si>
    <t>Any road conditions / Not relevant (S01-000052/A)</t>
  </si>
  <si>
    <t>S01-000053/A</t>
  </si>
  <si>
    <t>High traction (S01-000053/A)</t>
  </si>
  <si>
    <t>S01-000054/A</t>
  </si>
  <si>
    <t>Medium traction (S01-000054/A)</t>
  </si>
  <si>
    <t>S01-000055/A</t>
  </si>
  <si>
    <t>Low traction (S01-000055/A)</t>
  </si>
  <si>
    <t>S01-000056/A</t>
  </si>
  <si>
    <t>Mixed traction (S01-000056/A)</t>
  </si>
  <si>
    <t>S01-000060/A</t>
  </si>
  <si>
    <t>Level (S01-000060/A)</t>
  </si>
  <si>
    <t>S01-000061/A</t>
  </si>
  <si>
    <t>Grade (slope) (S01-000061/A)</t>
  </si>
  <si>
    <t>S01-000200/A</t>
  </si>
  <si>
    <t>Rough road (S01-000200/A)</t>
  </si>
  <si>
    <t>S01-000194/A</t>
  </si>
  <si>
    <t>Bank / Side slope (S01-000194/A)</t>
  </si>
  <si>
    <t>S01-000076/A</t>
  </si>
  <si>
    <t>Any environment condition / Not relevant (S01-000076/A)</t>
  </si>
  <si>
    <t>S01-000078/A</t>
  </si>
  <si>
    <t>Day time (S01-000078/A)</t>
  </si>
  <si>
    <t>S01-000079/A</t>
  </si>
  <si>
    <t>Night time (S01-000079/A)</t>
  </si>
  <si>
    <t>S01-000083/A</t>
  </si>
  <si>
    <t>Reduced visibility (S01-000083/A)</t>
  </si>
  <si>
    <t>S01-000179/A</t>
  </si>
  <si>
    <t>High or low temperature (S01-000179/A)</t>
  </si>
  <si>
    <t>S01-000199/A</t>
  </si>
  <si>
    <t>Confined surroundings (S01-000199/A)</t>
  </si>
  <si>
    <t>S01-000085/A</t>
  </si>
  <si>
    <t>Object on or beside the road (S01-000085/A)</t>
  </si>
  <si>
    <t>S01-000086/B</t>
  </si>
  <si>
    <t>Any vehicle usage / Not relevant (S01-000086/B)</t>
  </si>
  <si>
    <t>S01-000187/A</t>
  </si>
  <si>
    <t>Ignition off (S01-000187/A)</t>
  </si>
  <si>
    <t>S01-000188/A</t>
  </si>
  <si>
    <t>Ignition on (S01-000188/A)</t>
  </si>
  <si>
    <t>S01-000191/A</t>
  </si>
  <si>
    <t>Engine shutdown (S01-000191/A)</t>
  </si>
  <si>
    <t>S01-000189/A</t>
  </si>
  <si>
    <t>Engine running (S01-000189/A)</t>
  </si>
  <si>
    <t>S01-000190/A</t>
  </si>
  <si>
    <t>Engine Starting (S01-000190/A)</t>
  </si>
  <si>
    <t>S01-000192/A</t>
  </si>
  <si>
    <t>In park (S01-000192/A)</t>
  </si>
  <si>
    <t>S01-000176/A</t>
  </si>
  <si>
    <t>In neutral (S01-000176/A)</t>
  </si>
  <si>
    <t>S01-000177/A</t>
  </si>
  <si>
    <t>In drive or gear (S01-000177/A)</t>
  </si>
  <si>
    <t>S01-000186/A</t>
  </si>
  <si>
    <t>In reverse (S01-000186/A)</t>
  </si>
  <si>
    <t>S01-000138/A</t>
  </si>
  <si>
    <t>Shifting gears / Shifting range (S01-000138/A)</t>
  </si>
  <si>
    <t>S01-000193/A</t>
  </si>
  <si>
    <t>Vehicle is stationary (S01-000193/A)</t>
  </si>
  <si>
    <t>S01-000130/A</t>
  </si>
  <si>
    <t>Driving at speed (S01-000130/A)</t>
  </si>
  <si>
    <t>S01-000159/A</t>
  </si>
  <si>
    <t>Rearward driving (S01-000159/A)</t>
  </si>
  <si>
    <t>S01-000125/A</t>
  </si>
  <si>
    <t>Rolling (S01-000125/A)</t>
  </si>
  <si>
    <t>S01-000118/A</t>
  </si>
  <si>
    <t>Vehicle launch (S01-000118/A)</t>
  </si>
  <si>
    <t>S01-000132/A</t>
  </si>
  <si>
    <t>Accelerating (S01-000132/A)</t>
  </si>
  <si>
    <t>S01-000133/A</t>
  </si>
  <si>
    <t>Decelerating (S01-000133/A)</t>
  </si>
  <si>
    <t>S01-000134/A</t>
  </si>
  <si>
    <t>Braking (S01-000134/A)</t>
  </si>
  <si>
    <t>S01-000181/A</t>
  </si>
  <si>
    <t>Applied park brake (S01-000181/A)</t>
  </si>
  <si>
    <t>S01-000182/A</t>
  </si>
  <si>
    <t>Steering driving straight (S01-000182/A)</t>
  </si>
  <si>
    <t>S01-000137/A</t>
  </si>
  <si>
    <t>Steering while turning (S01-000137/A)</t>
  </si>
  <si>
    <t>S01-000156/A</t>
  </si>
  <si>
    <t>Dynamic driving (S01-000156/A)</t>
  </si>
  <si>
    <t>S01-000183/A</t>
  </si>
  <si>
    <t>Traction control event (S01-000183/A)</t>
  </si>
  <si>
    <t>S01-000184/A</t>
  </si>
  <si>
    <t>Anti-lock control event (S01-000184/A)</t>
  </si>
  <si>
    <t>S01-000109/A</t>
  </si>
  <si>
    <t>Electronic stability control (ESC) event (S01-000109/A)</t>
  </si>
  <si>
    <t>S01-000185/A</t>
  </si>
  <si>
    <t>Roll stability control event (S01-000185/A)</t>
  </si>
  <si>
    <t>S01-000107/A</t>
  </si>
  <si>
    <t>Accident (S01-000107/A)</t>
  </si>
  <si>
    <t>S01-000180/A</t>
  </si>
  <si>
    <t>Fueling / Charging (S01-000180/A)</t>
  </si>
  <si>
    <t>S01-000128/A</t>
  </si>
  <si>
    <t>Being Towed (S01-000128/A)</t>
  </si>
  <si>
    <t>S01-000160/A</t>
  </si>
  <si>
    <t>Trailer / Towing (S01-000160/A)</t>
  </si>
  <si>
    <t>S01-000163/A</t>
  </si>
  <si>
    <t>Heavily loaded (S01-000163/A)</t>
  </si>
  <si>
    <t>S01-000146/A</t>
  </si>
  <si>
    <t>Overtaking (S01-000146/A)</t>
  </si>
  <si>
    <t>S01-000221/A</t>
  </si>
  <si>
    <t>Inside operational design domain (S01-000221/A)</t>
  </si>
  <si>
    <t>S01-000222/A</t>
  </si>
  <si>
    <t>Outside operational design domain (S01-000222/A)</t>
  </si>
  <si>
    <t>HAZ-000001/A</t>
  </si>
  <si>
    <t>HAZ-000002/A</t>
  </si>
  <si>
    <t>HAZ-000003/A</t>
  </si>
  <si>
    <t>HAZ-000004/A</t>
  </si>
  <si>
    <t>HAZ-000005/A</t>
  </si>
  <si>
    <t>HAZ-000006/A</t>
  </si>
  <si>
    <t>HAZ-000007/A</t>
  </si>
  <si>
    <t>HAZ-000008/A</t>
  </si>
  <si>
    <t>HAZ-000009/A</t>
  </si>
  <si>
    <t>HAZ-000010/A</t>
  </si>
  <si>
    <t>HAZ-000011/A</t>
  </si>
  <si>
    <t>HAZ-000012/A</t>
  </si>
  <si>
    <t>HAZ-000014/A</t>
  </si>
  <si>
    <t>HAZ-000016/A</t>
  </si>
  <si>
    <t>HAZ-000017/A</t>
  </si>
  <si>
    <t>HAZ-000018/A</t>
  </si>
  <si>
    <t>HAZ-000019/A</t>
  </si>
  <si>
    <t>HAZ-000020/A</t>
  </si>
  <si>
    <t>HAZ-000021/A</t>
  </si>
  <si>
    <t>HAZ-000022/A</t>
  </si>
  <si>
    <t>HAZ-000023/A</t>
  </si>
  <si>
    <t>HAZ-000027/A</t>
  </si>
  <si>
    <t>HAZ-000028/A</t>
  </si>
  <si>
    <t>HAZ-000029/A</t>
  </si>
  <si>
    <t>HAZ-000030/A</t>
  </si>
  <si>
    <t>HAZ-000031/A</t>
  </si>
  <si>
    <t>HAZ-000032/A</t>
  </si>
  <si>
    <t>HAZ-000033/A</t>
  </si>
  <si>
    <t>HAZ-000034/A</t>
  </si>
  <si>
    <t>HAZ-000053/A</t>
  </si>
  <si>
    <t>HAZ-000054/A</t>
  </si>
  <si>
    <t>HAZ-000073/A</t>
  </si>
  <si>
    <t>S01-000001/B</t>
  </si>
  <si>
    <t>S01-000003/A</t>
  </si>
  <si>
    <t>S01-000007/B</t>
  </si>
  <si>
    <t>Low speed road (S01-000007/B)</t>
  </si>
  <si>
    <t>Medium speed road (S01-000008/C)</t>
  </si>
  <si>
    <t>S01-000008/C</t>
  </si>
  <si>
    <t>S01-000010/C</t>
  </si>
  <si>
    <t>High speed road (S01-000010/C)</t>
  </si>
  <si>
    <t>S01-000017/A</t>
  </si>
  <si>
    <t>S01-000011/A</t>
  </si>
  <si>
    <t>S01-000196/A</t>
  </si>
  <si>
    <t>S01-000178/A</t>
  </si>
  <si>
    <t>S01-000195/A</t>
  </si>
  <si>
    <t>S01-000197/A</t>
  </si>
  <si>
    <t>S01-000260/A</t>
  </si>
  <si>
    <t>Is the invetigated element a feature (in Feature Dictionary or conditions fulfilled)?</t>
  </si>
  <si>
    <r>
      <t xml:space="preserve">Are the mechanisms in the base system / platform system for the referenced Hazardous Events still appropriately realized.
</t>
    </r>
    <r>
      <rPr>
        <i/>
        <sz val="8"/>
        <rFont val="Arial"/>
        <family val="2"/>
      </rPr>
      <t>Note: If there are no references to the base system / platform system or MagicDraw is used, the question can be answered with "yes":</t>
    </r>
    <r>
      <rPr>
        <sz val="8"/>
        <rFont val="Arial"/>
        <family val="2"/>
      </rPr>
      <t xml:space="preserve"> </t>
    </r>
  </si>
  <si>
    <r>
      <t xml:space="preserve">Geng Dekang (dgeng1)
</t>
    </r>
    <r>
      <rPr>
        <i/>
        <sz val="8"/>
        <color theme="0" tint="-0.499984740745262"/>
        <rFont val="Arial"/>
        <family val="2"/>
      </rPr>
      <t>The document owner is the author and approver of this document. The approval process is to load the document into the central repository (VSEM) and releasing for use after completing reviews.</t>
    </r>
  </si>
  <si>
    <t>Dgeng1</t>
  </si>
  <si>
    <t>initial version</t>
  </si>
  <si>
    <t>Mode Card open fail</t>
  </si>
  <si>
    <t>Mode Card condition judgement failed</t>
  </si>
  <si>
    <t>Mode Card APP open failed</t>
  </si>
  <si>
    <t>Mode Card sub-function execute failed</t>
  </si>
  <si>
    <t>Mode Card starts/ends unintendedly</t>
  </si>
  <si>
    <t>covered by Unintended</t>
  </si>
  <si>
    <t>Not Applicable</t>
  </si>
  <si>
    <t>covered by No</t>
  </si>
  <si>
    <t>Mode Card works intermittently</t>
  </si>
  <si>
    <t>Mode Card condition judgement works intermittently</t>
  </si>
  <si>
    <t>Mode Card function execute intermittently</t>
  </si>
  <si>
    <t>Mode Card should be opened normally when pre-condtion meet</t>
  </si>
  <si>
    <t>entrance</t>
  </si>
  <si>
    <t>can't use the APP</t>
  </si>
  <si>
    <t>N/A</t>
  </si>
  <si>
    <t>no impact to vehicle</t>
  </si>
  <si>
    <t>No Hazardous Event</t>
  </si>
  <si>
    <t>No injuries are expected.</t>
  </si>
  <si>
    <t>Sub-scene</t>
  </si>
  <si>
    <t>trigger condtions</t>
  </si>
  <si>
    <t xml:space="preserve">applications </t>
  </si>
  <si>
    <t>Sub-Scene should be executed normally when pre-condtion meet</t>
  </si>
  <si>
    <t>Mode Card should be opened normally when pre-condtion meet
(Pet/Camp/Battery save...)</t>
  </si>
  <si>
    <t>mode Card setting should selected normally by customer
(automatic/Manually)</t>
  </si>
  <si>
    <t>trigger conditions should be judged correctly when pre-condition met</t>
  </si>
  <si>
    <t>can't run the sub-scene</t>
  </si>
  <si>
    <t>can't open the sub-scene</t>
  </si>
  <si>
    <t>can't select the setting</t>
  </si>
  <si>
    <t>Pet &amp; Camp</t>
  </si>
  <si>
    <t>Other Sub-scene</t>
  </si>
  <si>
    <t>In park (S01-000192/A)
Ignition on (S01-000188/A)</t>
  </si>
  <si>
    <t>Mode Card</t>
  </si>
  <si>
    <r>
      <t xml:space="preserve">NA
</t>
    </r>
    <r>
      <rPr>
        <i/>
        <sz val="8"/>
        <color theme="0" tint="-0.499984740745262"/>
        <rFont val="Arial"/>
        <family val="2"/>
      </rPr>
      <t>Insert ID(s) of VSEM folder(s) to which the FFSD is attached. Optional for GTDS</t>
    </r>
    <r>
      <rPr>
        <b/>
        <sz val="16"/>
        <color theme="0" tint="-0.499984740745262"/>
        <rFont val="Arial"/>
        <family val="2"/>
      </rPr>
      <t xml:space="preserve"> </t>
    </r>
  </si>
  <si>
    <r>
      <t xml:space="preserve">CX821C/CX771
</t>
    </r>
    <r>
      <rPr>
        <i/>
        <sz val="8"/>
        <color indexed="23"/>
        <rFont val="Arial"/>
        <family val="2"/>
      </rPr>
      <t>Insert vehicle line name(s) or reference to a document describing  vehicle lines and variants</t>
    </r>
    <r>
      <rPr>
        <i/>
        <sz val="8"/>
        <rFont val="Arial"/>
        <family val="2"/>
      </rPr>
      <t xml:space="preserve"> </t>
    </r>
  </si>
  <si>
    <t>V1.1</t>
  </si>
  <si>
    <t>https://github.ford.com/SYNC-4-0/APIM_CIM/tree/master/02_Sepcification/02_Ford_Spec%20Confirmed/CustomerFacing%20Section/Mode%20Card/PRD</t>
  </si>
  <si>
    <t>Mode Card PRD</t>
  </si>
  <si>
    <t>Zhang Yongbo (yzhan529)</t>
  </si>
  <si>
    <t>Yongbo Zhang</t>
  </si>
  <si>
    <t>yzhan529@ford.com</t>
  </si>
  <si>
    <t>VBDS</t>
  </si>
  <si>
    <t>FMeT</t>
  </si>
  <si>
    <t>A1.1</t>
  </si>
  <si>
    <t xml:space="preserve">Customer responsibility </t>
  </si>
  <si>
    <t>Behavioral</t>
  </si>
  <si>
    <t xml:space="preserve">the driver shall avoid drive vehicle and operate Mode Card APP at the same time </t>
  </si>
  <si>
    <t>to avoid potential risks caused by driving and using Mode Card at the same time</t>
  </si>
  <si>
    <t>Customer responsibility MUST be documented within the owners manual.</t>
  </si>
  <si>
    <t>A1.2</t>
  </si>
  <si>
    <t>A2.1</t>
  </si>
  <si>
    <t>Feature scope</t>
  </si>
  <si>
    <t>the customer shall follow the reminder from IVI during using Mode Card</t>
  </si>
  <si>
    <t>Vehicle</t>
  </si>
  <si>
    <t>No
Inverted</t>
  </si>
  <si>
    <t>Video/music/photos could not be displayed on IVI</t>
  </si>
  <si>
    <t>Unintended
Early
Late</t>
  </si>
  <si>
    <t>Video/music/photos  display on IVI intermittently</t>
  </si>
  <si>
    <t>Video/music/photos displayed on IVI  is toggling available, not available</t>
  </si>
  <si>
    <t>setting change take effect</t>
  </si>
  <si>
    <t>Unintended
Early
Intermittent</t>
  </si>
  <si>
    <t>IVI could pause the media displayed on IVI when vehicle is into reverse gear</t>
  </si>
  <si>
    <t>IVI pause the media display</t>
  </si>
  <si>
    <t>Inverted
No</t>
  </si>
  <si>
    <t>IVI could not pause the media displayed on IVI when vehicle is into reverse gear</t>
  </si>
  <si>
    <t xml:space="preserve">IVI pause the media displayed on IVI unintendedly </t>
  </si>
  <si>
    <t>IVI could not pause the media displayed on IVI in time when vehicle is into reverse gear</t>
  </si>
  <si>
    <t>1. Update Cover page info
2. Update 2-assumptions
3. Update3-Hazard &amp; Risk assumption</t>
  </si>
  <si>
    <t>Customer responsibility</t>
  </si>
  <si>
    <t>A3.2</t>
  </si>
  <si>
    <t>A3.3</t>
  </si>
  <si>
    <t>Precondition for properly using Mode Card is user opens the APP and sets the condition&amp;function in advance，any other using scenario is out of Mode Card feature scope.</t>
  </si>
  <si>
    <t>to ensure Mode Card is working in secure condition</t>
  </si>
  <si>
    <t>Specific instruction of Mode Card must be listed within the owners manual</t>
  </si>
  <si>
    <t>The customer remains fully responsible of condition judgement selection in Mode Card.</t>
  </si>
  <si>
    <t>Avoid user sets a unproper condition in Mode Card.</t>
  </si>
  <si>
    <t>Avoid user sets a unproper application in Mode Card.</t>
  </si>
  <si>
    <t>The customer remains fully responsible of application value selection in Mode Card.</t>
  </si>
  <si>
    <t>System Behavior 01:Open Mode Card</t>
  </si>
  <si>
    <t xml:space="preserve">System Behavior 02:Mode Card starts to judge the conditions   </t>
  </si>
  <si>
    <t xml:space="preserve">System Behavior 03:Mode Card starts to execute the applications   </t>
  </si>
  <si>
    <t>Mode Card condition judges unintendedly</t>
  </si>
  <si>
    <t>Mode Card applications execute unintendedly</t>
  </si>
  <si>
    <t xml:space="preserve">Customer could change Mode Card function settings </t>
  </si>
  <si>
    <t>Mode Card setting failed and not take effect</t>
  </si>
  <si>
    <t>Mode Card settings change and take effect unintendedly</t>
  </si>
  <si>
    <t>Mode Card setting works intermittently</t>
  </si>
  <si>
    <t>Customer setting could not take effect on Mode Card</t>
  </si>
  <si>
    <t>Wrong Mode Card setting is configured or setting take effect at wrong time</t>
  </si>
  <si>
    <t>Mode Card setting function is toggling available, not available</t>
  </si>
  <si>
    <t>Video/music could be executed via IVI</t>
  </si>
  <si>
    <t>Video/music execute on IVI</t>
  </si>
  <si>
    <t>Video/music/photos execute failed</t>
  </si>
  <si>
    <t>Video/music/photos execute starts/ends unintendedly</t>
  </si>
  <si>
    <t>Video/music/photos execute intermittently</t>
  </si>
  <si>
    <t>IVI could use toast and pop-up to remind user and shut down Mode Card when user against the conditions</t>
  </si>
  <si>
    <t>IVI pop up reminder and shut down Camp Mode</t>
  </si>
  <si>
    <t>IVI  pop up no reminder and failed to shut down Camp Mode  when user sgainst the condtion</t>
  </si>
  <si>
    <t>Customer receive  no reminder when against the condtion</t>
  </si>
  <si>
    <t>User reverse vehicle while Mode Card is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</si>
</sst>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4">
    <font>
      <sz val="10"/>
      <name val="Arial"/>
    </font>
    <font>
      <sz val="10"/>
      <color theme="1"/>
      <name val="Arial"/>
      <family val="2"/>
    </font>
    <font>
      <sz val="10"/>
      <color theme="1"/>
      <name val="Arial"/>
      <family val="2"/>
    </font>
    <font>
      <sz val="10"/>
      <color theme="1"/>
      <name val="Arial"/>
      <family val="2"/>
    </font>
    <font>
      <sz val="10"/>
      <name val="Arial"/>
      <family val="2"/>
    </font>
    <font>
      <b/>
      <sz val="18"/>
      <name val="Arial"/>
      <family val="2"/>
    </font>
    <font>
      <b/>
      <sz val="10"/>
      <color indexed="10"/>
      <name val="Arial"/>
      <family val="2"/>
    </font>
    <font>
      <sz val="10"/>
      <color indexed="10"/>
      <name val="Arial"/>
      <family val="2"/>
    </font>
    <font>
      <b/>
      <sz val="12"/>
      <name val="Arial"/>
      <family val="2"/>
    </font>
    <font>
      <b/>
      <sz val="10"/>
      <name val="Arial"/>
      <family val="2"/>
    </font>
    <font>
      <b/>
      <u/>
      <sz val="10"/>
      <color indexed="12"/>
      <name val="Arial"/>
      <family val="2"/>
    </font>
    <font>
      <u/>
      <sz val="10"/>
      <color indexed="12"/>
      <name val="Arial"/>
      <family val="2"/>
    </font>
    <font>
      <b/>
      <sz val="14"/>
      <name val="Arial"/>
      <family val="2"/>
    </font>
    <font>
      <sz val="8"/>
      <name val="Arial"/>
      <family val="2"/>
    </font>
    <font>
      <b/>
      <sz val="8"/>
      <name val="Arial"/>
      <family val="2"/>
    </font>
    <font>
      <i/>
      <sz val="10"/>
      <name val="Arial"/>
      <family val="2"/>
    </font>
    <font>
      <b/>
      <sz val="16"/>
      <name val="Arial"/>
      <family val="2"/>
    </font>
    <font>
      <b/>
      <sz val="12"/>
      <color indexed="10"/>
      <name val="Arial"/>
      <family val="2"/>
    </font>
    <font>
      <sz val="12"/>
      <name val="Arial"/>
      <family val="2"/>
    </font>
    <font>
      <sz val="9"/>
      <name val="Arial"/>
      <family val="2"/>
    </font>
    <font>
      <sz val="12"/>
      <name val="Arial"/>
      <family val="2"/>
    </font>
    <font>
      <b/>
      <sz val="9"/>
      <name val="Arial"/>
      <family val="2"/>
    </font>
    <font>
      <sz val="10"/>
      <color indexed="9"/>
      <name val="Arial"/>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6"/>
      <color indexed="12"/>
      <name val="Arial"/>
      <family val="2"/>
    </font>
    <font>
      <b/>
      <sz val="10"/>
      <color indexed="9"/>
      <name val="Arial"/>
      <family val="2"/>
    </font>
    <font>
      <b/>
      <sz val="26"/>
      <name val="Arial"/>
      <family val="2"/>
    </font>
    <font>
      <b/>
      <sz val="8"/>
      <color indexed="22"/>
      <name val="Arial"/>
      <family val="2"/>
    </font>
    <font>
      <sz val="9"/>
      <color indexed="8"/>
      <name val="Arial"/>
      <family val="2"/>
    </font>
    <font>
      <b/>
      <sz val="9"/>
      <color indexed="8"/>
      <name val="Arial"/>
      <family val="2"/>
    </font>
    <font>
      <sz val="10"/>
      <name val="Helvetica"/>
      <family val="2"/>
    </font>
    <font>
      <b/>
      <sz val="11"/>
      <name val="Arial"/>
      <family val="2"/>
    </font>
    <font>
      <u/>
      <sz val="10"/>
      <color indexed="12"/>
      <name val="Arial"/>
      <family val="2"/>
    </font>
    <font>
      <sz val="10"/>
      <color indexed="8"/>
      <name val="Arial"/>
      <family val="2"/>
    </font>
    <font>
      <sz val="12"/>
      <name val="Arial"/>
      <family val="2"/>
    </font>
    <font>
      <sz val="8"/>
      <name val="Arial"/>
      <family val="2"/>
    </font>
    <font>
      <b/>
      <sz val="10"/>
      <name val="Arial"/>
      <family val="2"/>
    </font>
    <font>
      <sz val="7.5"/>
      <name val="Arial"/>
      <family val="2"/>
    </font>
    <font>
      <u/>
      <sz val="8"/>
      <color indexed="12"/>
      <name val="Arial"/>
      <family val="2"/>
    </font>
    <font>
      <sz val="8"/>
      <color indexed="8"/>
      <name val="Arial"/>
      <family val="2"/>
    </font>
    <font>
      <i/>
      <sz val="10"/>
      <color indexed="8"/>
      <name val="Arial"/>
      <family val="2"/>
    </font>
    <font>
      <i/>
      <sz val="3"/>
      <name val="Arial"/>
      <family val="2"/>
    </font>
    <font>
      <i/>
      <sz val="8"/>
      <name val="Arial"/>
      <family val="2"/>
    </font>
    <font>
      <i/>
      <sz val="10"/>
      <color indexed="55"/>
      <name val="Arial"/>
      <family val="2"/>
    </font>
    <font>
      <sz val="10"/>
      <name val="Symbol"/>
      <family val="1"/>
      <charset val="2"/>
    </font>
    <font>
      <sz val="10"/>
      <name val="Times New Roman"/>
      <family val="1"/>
    </font>
    <font>
      <i/>
      <sz val="8"/>
      <color indexed="23"/>
      <name val="Arial"/>
      <family val="2"/>
    </font>
    <font>
      <b/>
      <sz val="16"/>
      <color indexed="10"/>
      <name val="Arial"/>
      <family val="2"/>
    </font>
    <font>
      <sz val="8"/>
      <name val="Arial"/>
      <family val="2"/>
    </font>
    <font>
      <i/>
      <sz val="9"/>
      <name val="Arial"/>
      <family val="2"/>
    </font>
    <font>
      <u/>
      <sz val="10"/>
      <color theme="10"/>
      <name val="Arial"/>
      <family val="2"/>
    </font>
    <font>
      <sz val="11"/>
      <color theme="1"/>
      <name val="Calibri"/>
      <family val="2"/>
      <scheme val="minor"/>
    </font>
    <font>
      <sz val="11"/>
      <color indexed="8"/>
      <name val="Calibri"/>
      <family val="2"/>
    </font>
    <font>
      <i/>
      <sz val="8"/>
      <color theme="0" tint="-0.499984740745262"/>
      <name val="Arial"/>
      <family val="2"/>
    </font>
    <font>
      <b/>
      <i/>
      <sz val="8"/>
      <color theme="0" tint="-0.34998626667073579"/>
      <name val="Arial"/>
      <family val="2"/>
    </font>
    <font>
      <sz val="10"/>
      <color theme="0" tint="-0.34998626667073579"/>
      <name val="Arial"/>
      <family val="2"/>
    </font>
    <font>
      <i/>
      <sz val="10"/>
      <color theme="0" tint="-0.34998626667073579"/>
      <name val="Arial"/>
      <family val="2"/>
    </font>
    <font>
      <i/>
      <u/>
      <sz val="10"/>
      <color theme="0" tint="-0.34998626667073579"/>
      <name val="Arial"/>
      <family val="2"/>
    </font>
    <font>
      <b/>
      <sz val="11"/>
      <color indexed="8"/>
      <name val="Arial"/>
      <family val="2"/>
    </font>
    <font>
      <b/>
      <sz val="12"/>
      <color indexed="8"/>
      <name val="Arial"/>
      <family val="2"/>
    </font>
    <font>
      <sz val="12"/>
      <color indexed="8"/>
      <name val="Arial"/>
      <family val="2"/>
    </font>
    <font>
      <b/>
      <u/>
      <sz val="16"/>
      <name val="Arial"/>
      <family val="2"/>
    </font>
    <font>
      <sz val="14"/>
      <name val="Arial"/>
      <family val="2"/>
    </font>
    <font>
      <sz val="18"/>
      <name val="Arial"/>
      <family val="2"/>
    </font>
    <font>
      <b/>
      <u/>
      <sz val="12"/>
      <color indexed="8"/>
      <name val="Arial"/>
      <family val="2"/>
    </font>
    <font>
      <b/>
      <sz val="16"/>
      <name val="Calibri"/>
      <family val="2"/>
      <scheme val="minor"/>
    </font>
    <font>
      <sz val="16"/>
      <name val="Calibri"/>
      <family val="2"/>
      <scheme val="minor"/>
    </font>
    <font>
      <b/>
      <u/>
      <sz val="16"/>
      <name val="Calibri"/>
      <family val="2"/>
      <scheme val="minor"/>
    </font>
    <font>
      <b/>
      <sz val="20"/>
      <name val="Calibri"/>
      <family val="2"/>
      <scheme val="minor"/>
    </font>
    <font>
      <i/>
      <sz val="16"/>
      <name val="Calibri"/>
      <family val="2"/>
      <scheme val="minor"/>
    </font>
    <font>
      <b/>
      <i/>
      <u/>
      <sz val="16"/>
      <name val="Calibri"/>
      <family val="2"/>
      <scheme val="minor"/>
    </font>
    <font>
      <sz val="16"/>
      <color rgb="FFFF0000"/>
      <name val="Calibri"/>
      <family val="2"/>
      <scheme val="minor"/>
    </font>
    <font>
      <sz val="11"/>
      <name val="Arial"/>
      <family val="2"/>
    </font>
    <font>
      <i/>
      <sz val="11"/>
      <name val="Arial"/>
      <family val="2"/>
    </font>
    <font>
      <sz val="9"/>
      <color rgb="FF00B0F0"/>
      <name val="Arial"/>
      <family val="2"/>
    </font>
    <font>
      <b/>
      <sz val="16"/>
      <color theme="0" tint="-0.499984740745262"/>
      <name val="Arial"/>
      <family val="2"/>
    </font>
    <font>
      <i/>
      <sz val="10"/>
      <color rgb="FFA6A6A6"/>
      <name val="Arial"/>
      <family val="2"/>
    </font>
    <font>
      <i/>
      <sz val="10"/>
      <color rgb="FF0070C0"/>
      <name val="Arial"/>
      <family val="2"/>
    </font>
    <font>
      <sz val="10"/>
      <color rgb="FFA6A6A6"/>
      <name val="Arial"/>
      <family val="2"/>
    </font>
  </fonts>
  <fills count="43">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36"/>
      </patternFill>
    </fill>
    <fill>
      <patternFill patternType="solid">
        <fgColor indexed="49"/>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13"/>
        <bgColor indexed="64"/>
      </patternFill>
    </fill>
    <fill>
      <patternFill patternType="solid">
        <fgColor indexed="44"/>
        <bgColor indexed="64"/>
      </patternFill>
    </fill>
    <fill>
      <patternFill patternType="lightUp">
        <bgColor indexed="22"/>
      </patternFill>
    </fill>
    <fill>
      <patternFill patternType="solid">
        <fgColor indexed="2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indexed="31"/>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rgb="FFFFFF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4"/>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99"/>
        <bgColor indexed="64"/>
      </patternFill>
    </fill>
    <fill>
      <patternFill patternType="solid">
        <fgColor theme="0" tint="-0.249977111117893"/>
        <bgColor indexed="64"/>
      </patternFill>
    </fill>
  </fills>
  <borders count="108">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style="medium">
        <color indexed="9"/>
      </top>
      <bottom/>
      <diagonal/>
    </border>
    <border>
      <left style="medium">
        <color indexed="9"/>
      </left>
      <right style="medium">
        <color indexed="9"/>
      </right>
      <top style="medium">
        <color indexed="64"/>
      </top>
      <bottom style="medium">
        <color indexed="9"/>
      </bottom>
      <diagonal/>
    </border>
    <border>
      <left style="medium">
        <color indexed="9"/>
      </left>
      <right style="medium">
        <color indexed="64"/>
      </right>
      <top style="medium">
        <color indexed="64"/>
      </top>
      <bottom style="medium">
        <color indexed="9"/>
      </bottom>
      <diagonal/>
    </border>
    <border>
      <left style="medium">
        <color indexed="9"/>
      </left>
      <right style="medium">
        <color indexed="64"/>
      </right>
      <top style="medium">
        <color indexed="9"/>
      </top>
      <bottom style="medium">
        <color indexed="9"/>
      </bottom>
      <diagonal/>
    </border>
    <border>
      <left style="medium">
        <color indexed="9"/>
      </left>
      <right style="medium">
        <color indexed="9"/>
      </right>
      <top style="medium">
        <color indexed="9"/>
      </top>
      <bottom style="medium">
        <color indexed="64"/>
      </bottom>
      <diagonal/>
    </border>
    <border>
      <left style="medium">
        <color indexed="9"/>
      </left>
      <right style="medium">
        <color indexed="64"/>
      </right>
      <top style="medium">
        <color indexed="9"/>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style="thin">
        <color indexed="8"/>
      </top>
      <bottom/>
      <diagonal/>
    </border>
    <border>
      <left style="medium">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medium">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64"/>
      </right>
      <top style="medium">
        <color indexed="8"/>
      </top>
      <bottom style="thin">
        <color indexed="8"/>
      </bottom>
      <diagonal/>
    </border>
    <border>
      <left style="thin">
        <color indexed="64"/>
      </left>
      <right style="thin">
        <color indexed="64"/>
      </right>
      <top style="medium">
        <color indexed="8"/>
      </top>
      <bottom style="thin">
        <color indexed="8"/>
      </bottom>
      <diagonal/>
    </border>
    <border>
      <left style="thin">
        <color indexed="64"/>
      </left>
      <right style="medium">
        <color indexed="8"/>
      </right>
      <top style="medium">
        <color indexed="8"/>
      </top>
      <bottom style="thin">
        <color indexed="8"/>
      </bottom>
      <diagonal/>
    </border>
    <border>
      <left style="medium">
        <color indexed="8"/>
      </left>
      <right style="thin">
        <color indexed="64"/>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medium">
        <color indexed="8"/>
      </right>
      <top style="thin">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64"/>
      </left>
      <right style="thin">
        <color indexed="64"/>
      </right>
      <top style="thin">
        <color indexed="8"/>
      </top>
      <bottom style="medium">
        <color indexed="8"/>
      </bottom>
      <diagonal/>
    </border>
    <border>
      <left style="thin">
        <color indexed="64"/>
      </left>
      <right style="medium">
        <color indexed="8"/>
      </right>
      <top style="thin">
        <color indexed="8"/>
      </top>
      <bottom style="medium">
        <color indexed="8"/>
      </bottom>
      <diagonal/>
    </border>
    <border>
      <left style="medium">
        <color indexed="64"/>
      </left>
      <right style="medium">
        <color indexed="9"/>
      </right>
      <top style="medium">
        <color indexed="64"/>
      </top>
      <bottom style="medium">
        <color indexed="9"/>
      </bottom>
      <diagonal/>
    </border>
    <border>
      <left style="medium">
        <color indexed="64"/>
      </left>
      <right style="medium">
        <color indexed="9"/>
      </right>
      <top style="medium">
        <color indexed="9"/>
      </top>
      <bottom style="medium">
        <color indexed="9"/>
      </bottom>
      <diagonal/>
    </border>
    <border>
      <left style="medium">
        <color indexed="64"/>
      </left>
      <right style="medium">
        <color indexed="9"/>
      </right>
      <top style="medium">
        <color indexed="9"/>
      </top>
      <bottom style="medium">
        <color indexed="64"/>
      </bottom>
      <diagonal/>
    </border>
    <border>
      <left style="medium">
        <color indexed="64"/>
      </left>
      <right style="medium">
        <color indexed="9"/>
      </right>
      <top style="medium">
        <color indexed="64"/>
      </top>
      <bottom/>
      <diagonal/>
    </border>
    <border>
      <left style="medium">
        <color indexed="64"/>
      </left>
      <right style="medium">
        <color indexed="9"/>
      </right>
      <top/>
      <bottom/>
      <diagonal/>
    </border>
    <border>
      <left style="medium">
        <color indexed="64"/>
      </left>
      <right style="medium">
        <color indexed="9"/>
      </right>
      <top/>
      <bottom style="medium">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style="medium">
        <color theme="1"/>
      </left>
      <right style="thin">
        <color theme="1"/>
      </right>
      <top style="medium">
        <color theme="1"/>
      </top>
      <bottom/>
      <diagonal/>
    </border>
    <border>
      <left style="thin">
        <color theme="1"/>
      </left>
      <right style="thin">
        <color theme="1"/>
      </right>
      <top style="medium">
        <color theme="1"/>
      </top>
      <bottom style="thin">
        <color indexed="64"/>
      </bottom>
      <diagonal/>
    </border>
    <border>
      <left style="thin">
        <color theme="1"/>
      </left>
      <right style="medium">
        <color theme="1"/>
      </right>
      <top style="medium">
        <color theme="1"/>
      </top>
      <bottom style="thin">
        <color indexed="64"/>
      </bottom>
      <diagonal/>
    </border>
    <border>
      <left style="medium">
        <color theme="1"/>
      </left>
      <right style="thin">
        <color theme="1"/>
      </right>
      <top/>
      <bottom/>
      <diagonal/>
    </border>
    <border>
      <left style="thin">
        <color theme="1"/>
      </left>
      <right style="thin">
        <color theme="1"/>
      </right>
      <top style="thin">
        <color indexed="64"/>
      </top>
      <bottom style="thin">
        <color indexed="64"/>
      </bottom>
      <diagonal/>
    </border>
    <border>
      <left style="thin">
        <color theme="1"/>
      </left>
      <right style="thin">
        <color theme="1"/>
      </right>
      <top style="thin">
        <color indexed="64"/>
      </top>
      <bottom/>
      <diagonal/>
    </border>
    <border>
      <left style="thin">
        <color theme="1"/>
      </left>
      <right style="medium">
        <color theme="1"/>
      </right>
      <top style="thin">
        <color indexed="64"/>
      </top>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thin">
        <color theme="1"/>
      </right>
      <top style="thin">
        <color theme="1"/>
      </top>
      <bottom style="thin">
        <color indexed="64"/>
      </bottom>
      <diagonal/>
    </border>
    <border>
      <left style="thin">
        <color theme="1"/>
      </left>
      <right style="medium">
        <color theme="1"/>
      </right>
      <top style="thin">
        <color theme="1"/>
      </top>
      <bottom style="thin">
        <color indexed="64"/>
      </bottom>
      <diagonal/>
    </border>
    <border>
      <left style="thin">
        <color theme="1"/>
      </left>
      <right style="medium">
        <color theme="1"/>
      </right>
      <top style="thin">
        <color indexed="64"/>
      </top>
      <bottom style="thin">
        <color indexed="64"/>
      </bottom>
      <diagonal/>
    </border>
    <border>
      <left style="medium">
        <color theme="1"/>
      </left>
      <right style="thin">
        <color theme="1"/>
      </right>
      <top/>
      <bottom style="medium">
        <color theme="1"/>
      </bottom>
      <diagonal/>
    </border>
    <border>
      <left style="thin">
        <color theme="1"/>
      </left>
      <right style="thin">
        <color theme="1"/>
      </right>
      <top style="thin">
        <color indexed="64"/>
      </top>
      <bottom style="medium">
        <color theme="1"/>
      </bottom>
      <diagonal/>
    </border>
    <border>
      <left style="thin">
        <color theme="1"/>
      </left>
      <right style="medium">
        <color theme="1"/>
      </right>
      <top style="thin">
        <color indexed="64"/>
      </top>
      <bottom style="medium">
        <color theme="1"/>
      </bottom>
      <diagonal/>
    </border>
  </borders>
  <cellStyleXfs count="53">
    <xf numFmtId="0" fontId="0" fillId="0" borderId="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10" borderId="0" applyNumberFormat="0" applyBorder="0" applyAlignment="0" applyProtection="0"/>
    <xf numFmtId="0" fontId="24" fillId="11" borderId="1" applyNumberFormat="0" applyAlignment="0" applyProtection="0"/>
    <xf numFmtId="0" fontId="25" fillId="11" borderId="2" applyNumberFormat="0" applyAlignment="0" applyProtection="0"/>
    <xf numFmtId="0" fontId="26" fillId="4" borderId="2" applyNumberFormat="0" applyAlignment="0" applyProtection="0"/>
    <xf numFmtId="0" fontId="27" fillId="0" borderId="4" applyNumberFormat="0" applyFill="0" applyAlignment="0" applyProtection="0"/>
    <xf numFmtId="0" fontId="28" fillId="0" borderId="0" applyNumberFormat="0" applyFill="0" applyBorder="0" applyAlignment="0" applyProtection="0"/>
    <xf numFmtId="0" fontId="29" fillId="3" borderId="0" applyNumberFormat="0" applyBorder="0" applyAlignment="0" applyProtection="0"/>
    <xf numFmtId="0" fontId="11" fillId="0" borderId="0" applyNumberFormat="0" applyFill="0" applyBorder="0" applyAlignment="0" applyProtection="0">
      <alignment vertical="top"/>
      <protection locked="0"/>
    </xf>
    <xf numFmtId="0" fontId="47" fillId="0" borderId="0" applyNumberFormat="0" applyFill="0" applyBorder="0" applyAlignment="0" applyProtection="0">
      <alignment vertical="top"/>
      <protection locked="0"/>
    </xf>
    <xf numFmtId="0" fontId="30" fillId="13" borderId="0" applyNumberFormat="0" applyBorder="0" applyAlignment="0" applyProtection="0"/>
    <xf numFmtId="0" fontId="4" fillId="0" borderId="0"/>
    <xf numFmtId="0" fontId="20" fillId="14" borderId="9" applyNumberFormat="0" applyFont="0" applyAlignment="0" applyProtection="0"/>
    <xf numFmtId="0" fontId="31" fillId="2" borderId="0" applyNumberFormat="0" applyBorder="0" applyAlignment="0" applyProtection="0"/>
    <xf numFmtId="0" fontId="49" fillId="0" borderId="0"/>
    <xf numFmtId="0" fontId="32" fillId="0" borderId="0" applyNumberFormat="0" applyFill="0" applyBorder="0" applyAlignment="0" applyProtection="0"/>
    <xf numFmtId="0" fontId="33" fillId="0" borderId="5" applyNumberFormat="0" applyFill="0" applyAlignment="0" applyProtection="0"/>
    <xf numFmtId="0" fontId="34" fillId="0" borderId="6" applyNumberFormat="0" applyFill="0" applyAlignment="0" applyProtection="0"/>
    <xf numFmtId="0" fontId="35" fillId="0" borderId="7" applyNumberFormat="0" applyFill="0" applyAlignment="0" applyProtection="0"/>
    <xf numFmtId="0" fontId="35" fillId="0" borderId="0" applyNumberFormat="0" applyFill="0" applyBorder="0" applyAlignment="0" applyProtection="0"/>
    <xf numFmtId="0" fontId="36" fillId="0" borderId="8" applyNumberFormat="0" applyFill="0" applyAlignment="0" applyProtection="0"/>
    <xf numFmtId="0" fontId="37" fillId="0" borderId="0" applyNumberFormat="0" applyFill="0" applyBorder="0" applyAlignment="0" applyProtection="0"/>
    <xf numFmtId="0" fontId="38" fillId="12" borderId="3" applyNumberFormat="0" applyAlignment="0" applyProtection="0"/>
    <xf numFmtId="0" fontId="18" fillId="14" borderId="9" applyNumberFormat="0" applyFont="0" applyAlignment="0" applyProtection="0"/>
    <xf numFmtId="0" fontId="4" fillId="0" borderId="0"/>
    <xf numFmtId="0" fontId="3" fillId="0" borderId="0"/>
    <xf numFmtId="0" fontId="4" fillId="0" borderId="0"/>
    <xf numFmtId="0" fontId="30" fillId="13" borderId="0" applyNumberFormat="0" applyBorder="0" applyAlignment="0" applyProtection="0"/>
    <xf numFmtId="0" fontId="65" fillId="0" borderId="0" applyNumberFormat="0" applyFill="0" applyBorder="0" applyAlignment="0" applyProtection="0"/>
    <xf numFmtId="0" fontId="66" fillId="0" borderId="0"/>
    <xf numFmtId="0" fontId="67" fillId="26" borderId="0" applyNumberFormat="0" applyBorder="0" applyAlignment="0" applyProtection="0"/>
    <xf numFmtId="0" fontId="67" fillId="2" borderId="0" applyNumberFormat="0" applyBorder="0" applyAlignment="0" applyProtection="0"/>
    <xf numFmtId="0" fontId="67" fillId="3" borderId="0" applyNumberFormat="0" applyBorder="0" applyAlignment="0" applyProtection="0"/>
    <xf numFmtId="0" fontId="67" fillId="27" borderId="0" applyNumberFormat="0" applyBorder="0" applyAlignment="0" applyProtection="0"/>
    <xf numFmtId="0" fontId="67" fillId="28" borderId="0" applyNumberFormat="0" applyBorder="0" applyAlignment="0" applyProtection="0"/>
    <xf numFmtId="0" fontId="67" fillId="4" borderId="0" applyNumberFormat="0" applyBorder="0" applyAlignment="0" applyProtection="0"/>
    <xf numFmtId="0" fontId="67" fillId="29" borderId="0" applyNumberFormat="0" applyBorder="0" applyAlignment="0" applyProtection="0"/>
    <xf numFmtId="0" fontId="67" fillId="30" borderId="0" applyNumberFormat="0" applyBorder="0" applyAlignment="0" applyProtection="0"/>
    <xf numFmtId="0" fontId="67" fillId="31" borderId="0" applyNumberFormat="0" applyBorder="0" applyAlignment="0" applyProtection="0"/>
    <xf numFmtId="0" fontId="67" fillId="27" borderId="0" applyNumberFormat="0" applyBorder="0" applyAlignment="0" applyProtection="0"/>
    <xf numFmtId="0" fontId="67" fillId="29" borderId="0" applyNumberFormat="0" applyBorder="0" applyAlignment="0" applyProtection="0"/>
    <xf numFmtId="0" fontId="67" fillId="32" borderId="0" applyNumberFormat="0" applyBorder="0" applyAlignment="0" applyProtection="0"/>
    <xf numFmtId="0" fontId="23" fillId="33"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34" borderId="0" applyNumberFormat="0" applyBorder="0" applyAlignment="0" applyProtection="0"/>
  </cellStyleXfs>
  <cellXfs count="658">
    <xf numFmtId="0" fontId="0" fillId="0" borderId="0" xfId="0"/>
    <xf numFmtId="0" fontId="0" fillId="0" borderId="0" xfId="0" applyAlignment="1">
      <alignment wrapText="1"/>
    </xf>
    <xf numFmtId="0" fontId="0" fillId="0" borderId="0" xfId="0" applyFill="1" applyBorder="1" applyAlignment="1">
      <alignment horizontal="center" vertical="top"/>
    </xf>
    <xf numFmtId="0" fontId="0" fillId="0" borderId="0" xfId="0" applyFill="1" applyAlignment="1">
      <alignment horizontal="center"/>
    </xf>
    <xf numFmtId="0" fontId="0" fillId="16" borderId="0" xfId="0" applyFill="1"/>
    <xf numFmtId="0" fontId="0" fillId="0" borderId="0" xfId="0" applyAlignment="1">
      <alignment vertical="top"/>
    </xf>
    <xf numFmtId="0" fontId="0" fillId="0" borderId="0" xfId="0" applyAlignment="1">
      <alignment horizontal="center" vertical="center"/>
    </xf>
    <xf numFmtId="0" fontId="0" fillId="0" borderId="0" xfId="0" applyAlignment="1">
      <alignment horizontal="left" vertical="center"/>
    </xf>
    <xf numFmtId="0" fontId="16" fillId="0" borderId="0" xfId="0" applyFont="1" applyAlignment="1">
      <alignment vertical="center"/>
    </xf>
    <xf numFmtId="0" fontId="22" fillId="17" borderId="11" xfId="0" applyFont="1" applyFill="1" applyBorder="1" applyAlignment="1">
      <alignment horizontal="center" vertical="center"/>
    </xf>
    <xf numFmtId="0" fontId="22" fillId="17" borderId="12" xfId="0" applyFont="1" applyFill="1" applyBorder="1" applyAlignment="1">
      <alignment horizontal="center" vertical="center"/>
    </xf>
    <xf numFmtId="0" fontId="22" fillId="17" borderId="13" xfId="0" applyFont="1" applyFill="1" applyBorder="1" applyAlignment="1">
      <alignment horizontal="center" vertical="center"/>
    </xf>
    <xf numFmtId="0" fontId="22" fillId="17" borderId="16" xfId="0" applyFont="1" applyFill="1" applyBorder="1" applyAlignment="1">
      <alignment horizontal="center" vertical="center"/>
    </xf>
    <xf numFmtId="0" fontId="22" fillId="18" borderId="17" xfId="0" applyFont="1" applyFill="1" applyBorder="1" applyAlignment="1">
      <alignment horizontal="center" vertical="center"/>
    </xf>
    <xf numFmtId="0" fontId="4" fillId="0" borderId="12" xfId="0" applyFont="1" applyFill="1" applyBorder="1" applyAlignment="1">
      <alignment vertical="center"/>
    </xf>
    <xf numFmtId="0" fontId="4" fillId="16" borderId="12" xfId="0" applyFont="1" applyFill="1" applyBorder="1" applyAlignment="1">
      <alignment vertical="center"/>
    </xf>
    <xf numFmtId="0" fontId="0" fillId="0" borderId="0" xfId="0" applyFill="1"/>
    <xf numFmtId="0" fontId="0" fillId="0" borderId="0" xfId="0" applyFill="1" applyAlignment="1">
      <alignment horizontal="center" vertical="top"/>
    </xf>
    <xf numFmtId="0" fontId="0" fillId="0" borderId="0" xfId="0" applyFill="1" applyAlignment="1">
      <alignment horizontal="left" vertical="top"/>
    </xf>
    <xf numFmtId="0" fontId="0" fillId="0" borderId="18" xfId="0" applyFill="1" applyBorder="1" applyAlignment="1">
      <alignment horizontal="center"/>
    </xf>
    <xf numFmtId="0" fontId="40" fillId="18" borderId="18" xfId="0" applyFont="1" applyFill="1" applyBorder="1" applyAlignment="1">
      <alignment horizontal="center" wrapText="1"/>
    </xf>
    <xf numFmtId="0" fontId="9" fillId="19" borderId="19" xfId="0" applyFont="1" applyFill="1" applyBorder="1" applyAlignment="1">
      <alignment horizontal="center"/>
    </xf>
    <xf numFmtId="0" fontId="0" fillId="0" borderId="10" xfId="0" applyFill="1" applyBorder="1" applyAlignment="1" applyProtection="1">
      <alignment vertical="center"/>
      <protection locked="0"/>
    </xf>
    <xf numFmtId="1" fontId="14" fillId="0" borderId="10" xfId="0" applyNumberFormat="1" applyFont="1" applyFill="1" applyBorder="1" applyAlignment="1">
      <alignment horizontal="center" vertical="center" wrapText="1"/>
    </xf>
    <xf numFmtId="0" fontId="9" fillId="0" borderId="20" xfId="0" applyFont="1" applyFill="1" applyBorder="1" applyAlignment="1">
      <alignment horizontal="center"/>
    </xf>
    <xf numFmtId="0" fontId="0" fillId="0" borderId="21" xfId="0" applyFill="1" applyBorder="1" applyAlignment="1" applyProtection="1">
      <alignment vertical="center"/>
      <protection locked="0"/>
    </xf>
    <xf numFmtId="1" fontId="14" fillId="0" borderId="21" xfId="0" applyNumberFormat="1" applyFont="1" applyFill="1" applyBorder="1" applyAlignment="1">
      <alignment horizontal="center" vertical="center" wrapText="1"/>
    </xf>
    <xf numFmtId="0" fontId="9" fillId="0" borderId="22" xfId="0" applyFont="1" applyFill="1" applyBorder="1" applyAlignment="1">
      <alignment horizontal="center"/>
    </xf>
    <xf numFmtId="1" fontId="42" fillId="0" borderId="10" xfId="0" applyNumberFormat="1" applyFont="1" applyFill="1" applyBorder="1" applyAlignment="1" applyProtection="1">
      <alignment horizontal="center" vertical="center" wrapText="1"/>
    </xf>
    <xf numFmtId="1" fontId="42" fillId="0" borderId="21" xfId="0" applyNumberFormat="1" applyFont="1" applyFill="1" applyBorder="1" applyAlignment="1" applyProtection="1">
      <alignment horizontal="center" vertical="center" wrapText="1"/>
    </xf>
    <xf numFmtId="0" fontId="16" fillId="0" borderId="0" xfId="0" applyFont="1" applyBorder="1" applyAlignment="1">
      <alignment horizontal="center" wrapText="1"/>
    </xf>
    <xf numFmtId="0" fontId="9" fillId="16" borderId="0" xfId="0" applyFont="1" applyFill="1"/>
    <xf numFmtId="0" fontId="0" fillId="0" borderId="0" xfId="0" applyAlignment="1">
      <alignment horizontal="center" vertical="center" wrapText="1"/>
    </xf>
    <xf numFmtId="0" fontId="4" fillId="0" borderId="0" xfId="0" applyFont="1" applyAlignment="1">
      <alignment wrapText="1"/>
    </xf>
    <xf numFmtId="0" fontId="4" fillId="0" borderId="10" xfId="0" applyFont="1" applyFill="1" applyBorder="1" applyAlignment="1">
      <alignment vertical="center" wrapText="1"/>
    </xf>
    <xf numFmtId="0" fontId="4" fillId="21" borderId="13" xfId="0" applyFont="1" applyFill="1" applyBorder="1" applyAlignment="1">
      <alignment horizontal="center" vertical="center"/>
    </xf>
    <xf numFmtId="0" fontId="9" fillId="0" borderId="10" xfId="0" applyFont="1" applyFill="1" applyBorder="1" applyAlignment="1">
      <alignment horizontal="center" vertical="center" wrapText="1"/>
    </xf>
    <xf numFmtId="0" fontId="4" fillId="0" borderId="0" xfId="0" applyFont="1"/>
    <xf numFmtId="0" fontId="4" fillId="0" borderId="10" xfId="0" applyFont="1" applyFill="1" applyBorder="1" applyAlignment="1">
      <alignment vertical="center"/>
    </xf>
    <xf numFmtId="0" fontId="4" fillId="21" borderId="11" xfId="0" applyFont="1" applyFill="1" applyBorder="1" applyAlignment="1">
      <alignment horizontal="center" vertical="center"/>
    </xf>
    <xf numFmtId="0" fontId="4" fillId="21" borderId="16" xfId="0" applyFont="1" applyFill="1" applyBorder="1" applyAlignment="1">
      <alignment horizontal="center" vertical="center"/>
    </xf>
    <xf numFmtId="0" fontId="46" fillId="0" borderId="0" xfId="0" applyFont="1"/>
    <xf numFmtId="0" fontId="0" fillId="0" borderId="23" xfId="0" applyBorder="1" applyAlignment="1">
      <alignment horizontal="center"/>
    </xf>
    <xf numFmtId="0" fontId="9" fillId="15" borderId="10" xfId="0" applyFont="1" applyFill="1" applyBorder="1" applyAlignment="1">
      <alignment horizontal="center" vertical="center"/>
    </xf>
    <xf numFmtId="0" fontId="4" fillId="0" borderId="10" xfId="0" applyFont="1" applyBorder="1" applyAlignment="1">
      <alignment vertical="center" wrapText="1"/>
    </xf>
    <xf numFmtId="0" fontId="0" fillId="0" borderId="0" xfId="0" applyAlignment="1">
      <alignment horizontal="center"/>
    </xf>
    <xf numFmtId="0" fontId="9" fillId="0" borderId="0" xfId="0" applyFont="1" applyAlignment="1">
      <alignment horizontal="center" vertical="center"/>
    </xf>
    <xf numFmtId="0" fontId="9" fillId="0" borderId="0" xfId="0" applyFont="1" applyAlignment="1">
      <alignment wrapText="1"/>
    </xf>
    <xf numFmtId="0" fontId="0" fillId="0" borderId="25" xfId="0" applyBorder="1" applyAlignment="1">
      <alignment horizontal="center"/>
    </xf>
    <xf numFmtId="0" fontId="13" fillId="0" borderId="0" xfId="0" applyFont="1" applyAlignment="1">
      <alignment wrapText="1"/>
    </xf>
    <xf numFmtId="0" fontId="13" fillId="0" borderId="0" xfId="0" applyFont="1" applyAlignment="1">
      <alignment horizontal="center" wrapText="1"/>
    </xf>
    <xf numFmtId="0" fontId="13" fillId="0" borderId="10" xfId="0" applyFont="1" applyBorder="1" applyAlignment="1">
      <alignment vertical="center" wrapText="1"/>
    </xf>
    <xf numFmtId="0" fontId="52" fillId="0" borderId="0" xfId="0" applyFont="1" applyAlignment="1">
      <alignment horizontal="right" vertical="top"/>
    </xf>
    <xf numFmtId="0" fontId="13" fillId="0" borderId="0" xfId="0" applyFont="1" applyBorder="1" applyAlignment="1">
      <alignment wrapText="1"/>
    </xf>
    <xf numFmtId="0" fontId="53" fillId="0" borderId="0" xfId="14" applyFont="1" applyBorder="1" applyAlignment="1" applyProtection="1">
      <alignment wrapText="1"/>
    </xf>
    <xf numFmtId="0" fontId="50" fillId="0" borderId="0" xfId="0" applyFont="1"/>
    <xf numFmtId="0" fontId="14" fillId="15" borderId="10" xfId="0" applyFont="1" applyFill="1" applyBorder="1" applyAlignment="1">
      <alignment horizontal="center" wrapText="1"/>
    </xf>
    <xf numFmtId="0" fontId="0" fillId="0" borderId="10" xfId="0" applyBorder="1"/>
    <xf numFmtId="0" fontId="4" fillId="0" borderId="0" xfId="0" applyFont="1" applyAlignment="1">
      <alignment horizontal="justify"/>
    </xf>
    <xf numFmtId="0" fontId="14" fillId="15" borderId="10" xfId="0" applyFont="1" applyFill="1" applyBorder="1" applyAlignment="1">
      <alignment vertical="top" wrapText="1"/>
    </xf>
    <xf numFmtId="0" fontId="9" fillId="0" borderId="0" xfId="0" applyFont="1"/>
    <xf numFmtId="0" fontId="9" fillId="0" borderId="10" xfId="0" applyFont="1" applyBorder="1" applyAlignment="1">
      <alignment wrapText="1"/>
    </xf>
    <xf numFmtId="0" fontId="0" fillId="0" borderId="0" xfId="0" applyBorder="1" applyAlignment="1">
      <alignment horizontal="left" vertical="center"/>
    </xf>
    <xf numFmtId="0" fontId="51" fillId="0" borderId="0" xfId="0" applyFont="1" applyFill="1"/>
    <xf numFmtId="0" fontId="21" fillId="0" borderId="26" xfId="0" applyFont="1" applyBorder="1" applyAlignment="1">
      <alignment horizontal="left" vertical="top" wrapText="1"/>
    </xf>
    <xf numFmtId="0" fontId="19" fillId="0" borderId="27" xfId="0" applyFont="1" applyBorder="1" applyAlignment="1">
      <alignment horizontal="left" vertical="top" wrapText="1"/>
    </xf>
    <xf numFmtId="0" fontId="19" fillId="0" borderId="28" xfId="0" applyFont="1" applyBorder="1" applyAlignment="1">
      <alignment horizontal="left" vertical="top" wrapText="1"/>
    </xf>
    <xf numFmtId="0" fontId="19" fillId="0" borderId="29" xfId="0" applyFont="1" applyBorder="1" applyAlignment="1">
      <alignment horizontal="left" vertical="top" wrapText="1"/>
    </xf>
    <xf numFmtId="0" fontId="19" fillId="0" borderId="30" xfId="0" applyFont="1" applyBorder="1" applyAlignment="1">
      <alignment horizontal="left" vertical="top" wrapText="1"/>
    </xf>
    <xf numFmtId="0" fontId="43" fillId="0" borderId="29" xfId="0" applyFont="1" applyBorder="1" applyAlignment="1">
      <alignment horizontal="left" vertical="top" wrapText="1"/>
    </xf>
    <xf numFmtId="0" fontId="43" fillId="0" borderId="30" xfId="0" applyFont="1" applyBorder="1" applyAlignment="1">
      <alignment horizontal="left" vertical="top" wrapText="1"/>
    </xf>
    <xf numFmtId="0" fontId="19" fillId="0" borderId="32" xfId="0" applyFont="1" applyBorder="1" applyAlignment="1">
      <alignment vertical="top" wrapText="1"/>
    </xf>
    <xf numFmtId="0" fontId="43" fillId="0" borderId="32" xfId="0" applyFont="1" applyBorder="1" applyAlignment="1">
      <alignment horizontal="left" vertical="top" wrapText="1"/>
    </xf>
    <xf numFmtId="0" fontId="43" fillId="0" borderId="33" xfId="0" applyFont="1" applyBorder="1" applyAlignment="1">
      <alignment horizontal="left" vertical="top" wrapText="1"/>
    </xf>
    <xf numFmtId="0" fontId="14" fillId="0" borderId="0" xfId="0" applyFont="1" applyBorder="1" applyAlignment="1">
      <alignment horizontal="left" vertical="top" wrapText="1"/>
    </xf>
    <xf numFmtId="0" fontId="0" fillId="0" borderId="0" xfId="0" applyBorder="1" applyAlignment="1">
      <alignment vertical="top" wrapText="1"/>
    </xf>
    <xf numFmtId="0" fontId="54" fillId="0" borderId="0" xfId="0" applyFont="1" applyBorder="1" applyAlignment="1">
      <alignment horizontal="left" vertical="top" wrapText="1"/>
    </xf>
    <xf numFmtId="0" fontId="21" fillId="0" borderId="26" xfId="0" applyFont="1" applyBorder="1" applyAlignment="1">
      <alignment horizontal="center" vertical="top" wrapText="1"/>
    </xf>
    <xf numFmtId="0" fontId="19" fillId="0" borderId="27" xfId="0" applyFont="1" applyBorder="1" applyAlignment="1">
      <alignment horizontal="center" vertical="top"/>
    </xf>
    <xf numFmtId="0" fontId="19" fillId="0" borderId="28" xfId="0" applyFont="1" applyBorder="1" applyAlignment="1">
      <alignment horizontal="center" vertical="top"/>
    </xf>
    <xf numFmtId="0" fontId="19" fillId="0" borderId="29" xfId="0" applyFont="1" applyBorder="1" applyAlignment="1">
      <alignment horizontal="center" vertical="top" wrapText="1"/>
    </xf>
    <xf numFmtId="0" fontId="19" fillId="0" borderId="30" xfId="0" applyFont="1" applyBorder="1" applyAlignment="1">
      <alignment horizontal="center" vertical="top" wrapText="1"/>
    </xf>
    <xf numFmtId="0" fontId="19" fillId="0" borderId="31" xfId="0" applyFont="1" applyBorder="1" applyAlignment="1">
      <alignment horizontal="left" vertical="top" wrapText="1"/>
    </xf>
    <xf numFmtId="0" fontId="55" fillId="15" borderId="10" xfId="0" applyFont="1" applyFill="1" applyBorder="1" applyAlignment="1">
      <alignment horizontal="center" vertical="center" wrapText="1"/>
    </xf>
    <xf numFmtId="0" fontId="21" fillId="0" borderId="35" xfId="0" applyFont="1" applyBorder="1" applyAlignment="1">
      <alignment horizontal="justify" vertical="top" wrapText="1"/>
    </xf>
    <xf numFmtId="0" fontId="19" fillId="0" borderId="34" xfId="0" applyFont="1" applyBorder="1" applyAlignment="1">
      <alignment horizontal="left" vertical="top" wrapText="1"/>
    </xf>
    <xf numFmtId="0" fontId="19" fillId="0" borderId="36" xfId="0" applyFont="1" applyBorder="1" applyAlignment="1">
      <alignment horizontal="left" vertical="top" wrapText="1"/>
    </xf>
    <xf numFmtId="0" fontId="21" fillId="0" borderId="35" xfId="0" applyFont="1" applyBorder="1" applyAlignment="1">
      <alignment horizontal="left" vertical="top" wrapText="1"/>
    </xf>
    <xf numFmtId="0" fontId="19" fillId="0" borderId="34" xfId="0" applyFont="1" applyBorder="1" applyAlignment="1">
      <alignment horizontal="center" vertical="top" wrapText="1"/>
    </xf>
    <xf numFmtId="0" fontId="19" fillId="0" borderId="36" xfId="0" applyFont="1" applyBorder="1" applyAlignment="1">
      <alignment horizontal="center" vertical="top" wrapText="1"/>
    </xf>
    <xf numFmtId="0" fontId="21" fillId="16" borderId="0" xfId="0" applyFont="1" applyFill="1" applyBorder="1" applyAlignment="1">
      <alignment horizontal="justify" wrapText="1"/>
    </xf>
    <xf numFmtId="0" fontId="43" fillId="16" borderId="0" xfId="0" applyFont="1" applyFill="1" applyBorder="1" applyAlignment="1">
      <alignment horizontal="justify" wrapText="1"/>
    </xf>
    <xf numFmtId="0" fontId="43" fillId="16" borderId="0" xfId="0" applyFont="1" applyFill="1" applyBorder="1" applyAlignment="1">
      <alignment horizontal="center" vertical="top" wrapText="1"/>
    </xf>
    <xf numFmtId="0" fontId="43" fillId="16" borderId="0" xfId="0" applyFont="1" applyFill="1" applyBorder="1" applyAlignment="1">
      <alignment horizontal="center" wrapText="1"/>
    </xf>
    <xf numFmtId="0" fontId="4" fillId="0" borderId="0" xfId="0" applyFont="1" applyFill="1"/>
    <xf numFmtId="0" fontId="18" fillId="0" borderId="0" xfId="19" applyFont="1" applyAlignment="1">
      <alignment vertical="center"/>
    </xf>
    <xf numFmtId="0" fontId="18" fillId="0" borderId="0" xfId="19" applyFont="1" applyAlignment="1">
      <alignment horizontal="center" vertical="center"/>
    </xf>
    <xf numFmtId="0" fontId="4" fillId="0" borderId="0" xfId="0" applyFont="1" applyFill="1" applyAlignment="1">
      <alignment horizontal="left" vertical="top" wrapText="1"/>
    </xf>
    <xf numFmtId="0" fontId="0" fillId="16" borderId="37" xfId="0" applyFill="1" applyBorder="1"/>
    <xf numFmtId="0" fontId="13" fillId="16" borderId="37" xfId="0" applyFont="1" applyFill="1" applyBorder="1" applyAlignment="1">
      <alignment vertical="top" wrapText="1"/>
    </xf>
    <xf numFmtId="0" fontId="0" fillId="0" borderId="0" xfId="0" applyBorder="1"/>
    <xf numFmtId="0" fontId="13" fillId="16" borderId="0" xfId="0" applyFont="1" applyFill="1" applyBorder="1" applyAlignment="1">
      <alignment vertical="top" wrapText="1"/>
    </xf>
    <xf numFmtId="49" fontId="8" fillId="0" borderId="0" xfId="0" applyNumberFormat="1" applyFont="1" applyBorder="1" applyAlignment="1"/>
    <xf numFmtId="49" fontId="18" fillId="0" borderId="0" xfId="0" applyNumberFormat="1" applyFont="1" applyBorder="1" applyAlignment="1"/>
    <xf numFmtId="0" fontId="16" fillId="16" borderId="0" xfId="0" applyFont="1" applyFill="1" applyAlignment="1">
      <alignment vertical="center"/>
    </xf>
    <xf numFmtId="0" fontId="0" fillId="16" borderId="0" xfId="0" applyFill="1" applyAlignment="1">
      <alignment horizontal="left" vertical="center"/>
    </xf>
    <xf numFmtId="0" fontId="0" fillId="16" borderId="0" xfId="0" applyFill="1" applyBorder="1" applyAlignment="1">
      <alignment horizontal="left" vertical="center"/>
    </xf>
    <xf numFmtId="0" fontId="0" fillId="16" borderId="0" xfId="0" applyFill="1" applyAlignment="1">
      <alignment horizontal="center" vertical="center" wrapText="1"/>
    </xf>
    <xf numFmtId="0" fontId="57" fillId="16" borderId="0" xfId="0" applyFont="1" applyFill="1" applyBorder="1" applyAlignment="1">
      <alignment horizontal="left" vertical="center" wrapText="1"/>
    </xf>
    <xf numFmtId="0" fontId="57" fillId="16" borderId="0" xfId="0" applyFont="1" applyFill="1" applyBorder="1" applyAlignment="1">
      <alignment horizontal="left" vertical="center"/>
    </xf>
    <xf numFmtId="0" fontId="19" fillId="15" borderId="10" xfId="0" applyFont="1" applyFill="1" applyBorder="1" applyAlignment="1">
      <alignment horizontal="center" wrapText="1"/>
    </xf>
    <xf numFmtId="0" fontId="8" fillId="15" borderId="38" xfId="19" applyFont="1" applyFill="1" applyBorder="1" applyAlignment="1">
      <alignment horizontal="center" vertical="center"/>
    </xf>
    <xf numFmtId="0" fontId="0" fillId="0" borderId="10" xfId="0" applyBorder="1" applyAlignment="1">
      <alignment horizontal="left" vertical="top"/>
    </xf>
    <xf numFmtId="0" fontId="13" fillId="16" borderId="10" xfId="0" applyFont="1" applyFill="1" applyBorder="1" applyAlignment="1">
      <alignment horizontal="left" vertical="top" wrapText="1"/>
    </xf>
    <xf numFmtId="164" fontId="0" fillId="0" borderId="10" xfId="0" applyNumberFormat="1" applyBorder="1" applyAlignment="1">
      <alignment horizontal="left" vertical="top"/>
    </xf>
    <xf numFmtId="0" fontId="0" fillId="0" borderId="10" xfId="0" applyBorder="1" applyAlignment="1">
      <alignment horizontal="center" vertical="top"/>
    </xf>
    <xf numFmtId="0" fontId="4" fillId="0" borderId="10" xfId="0" applyFont="1" applyFill="1" applyBorder="1" applyAlignment="1">
      <alignment horizontal="center" vertical="top"/>
    </xf>
    <xf numFmtId="0" fontId="4" fillId="0" borderId="21" xfId="0" applyFont="1" applyFill="1" applyBorder="1" applyAlignment="1">
      <alignment horizontal="center" vertical="top"/>
    </xf>
    <xf numFmtId="0" fontId="4" fillId="0" borderId="20" xfId="16" applyBorder="1" applyAlignment="1">
      <alignment vertical="top" wrapText="1"/>
    </xf>
    <xf numFmtId="0" fontId="45" fillId="0" borderId="20" xfId="16" applyFont="1" applyBorder="1" applyAlignment="1">
      <alignment vertical="top" wrapText="1"/>
    </xf>
    <xf numFmtId="0" fontId="45" fillId="0" borderId="22" xfId="16" applyFont="1" applyBorder="1" applyAlignment="1">
      <alignment vertical="top" wrapText="1"/>
    </xf>
    <xf numFmtId="0" fontId="13" fillId="16" borderId="10" xfId="0" applyFont="1" applyFill="1" applyBorder="1" applyAlignment="1">
      <alignment horizontal="center" vertical="center"/>
    </xf>
    <xf numFmtId="0" fontId="13" fillId="16" borderId="10" xfId="0" applyFont="1" applyFill="1" applyBorder="1" applyAlignment="1">
      <alignment horizontal="center" vertical="center" wrapText="1"/>
    </xf>
    <xf numFmtId="0" fontId="0" fillId="16" borderId="10" xfId="0" applyFill="1" applyBorder="1" applyAlignment="1">
      <alignment horizontal="center" vertical="center"/>
    </xf>
    <xf numFmtId="164" fontId="0" fillId="16" borderId="10" xfId="0" applyNumberFormat="1" applyFill="1" applyBorder="1" applyAlignment="1">
      <alignment horizontal="center" vertical="center"/>
    </xf>
    <xf numFmtId="0" fontId="0" fillId="0" borderId="10" xfId="0" applyBorder="1" applyAlignment="1">
      <alignment vertical="center" wrapText="1"/>
    </xf>
    <xf numFmtId="0" fontId="4" fillId="16" borderId="10" xfId="0" applyFont="1" applyFill="1" applyBorder="1" applyAlignment="1">
      <alignment vertical="center"/>
    </xf>
    <xf numFmtId="0" fontId="6" fillId="0" borderId="10" xfId="0" applyFont="1" applyFill="1" applyBorder="1" applyAlignment="1">
      <alignment horizontal="center" vertical="center"/>
    </xf>
    <xf numFmtId="0" fontId="0" fillId="0" borderId="10" xfId="0" applyBorder="1" applyAlignment="1">
      <alignment vertical="center"/>
    </xf>
    <xf numFmtId="0" fontId="8" fillId="0" borderId="10" xfId="0" applyFont="1" applyBorder="1" applyAlignment="1">
      <alignment horizontal="center" vertical="center"/>
    </xf>
    <xf numFmtId="0" fontId="7" fillId="0" borderId="10" xfId="0" applyFont="1" applyFill="1" applyBorder="1" applyAlignment="1">
      <alignment vertical="center"/>
    </xf>
    <xf numFmtId="0" fontId="17" fillId="0" borderId="10" xfId="0" applyFont="1" applyFill="1" applyBorder="1" applyAlignment="1">
      <alignment horizontal="center" vertical="center"/>
    </xf>
    <xf numFmtId="0" fontId="15" fillId="15" borderId="10" xfId="0" applyFont="1" applyFill="1" applyBorder="1" applyAlignment="1">
      <alignment horizontal="center" vertical="center" wrapText="1"/>
    </xf>
    <xf numFmtId="0" fontId="10" fillId="15" borderId="10" xfId="13" applyFont="1" applyFill="1" applyBorder="1" applyAlignment="1" applyProtection="1">
      <alignment horizontal="center" vertical="center" textRotation="90" wrapText="1"/>
    </xf>
    <xf numFmtId="1" fontId="9" fillId="15" borderId="10" xfId="13" applyNumberFormat="1" applyFont="1" applyFill="1" applyBorder="1" applyAlignment="1" applyProtection="1">
      <alignment vertical="center" wrapText="1"/>
    </xf>
    <xf numFmtId="1" fontId="9" fillId="15" borderId="10" xfId="13" applyNumberFormat="1" applyFont="1" applyFill="1" applyBorder="1" applyAlignment="1" applyProtection="1">
      <alignment horizontal="center" vertical="center" wrapText="1"/>
    </xf>
    <xf numFmtId="0" fontId="9" fillId="0" borderId="10" xfId="0" applyFont="1" applyFill="1" applyBorder="1" applyAlignment="1">
      <alignment horizontal="center" vertical="center"/>
    </xf>
    <xf numFmtId="0" fontId="0" fillId="0" borderId="10" xfId="0" applyFill="1" applyBorder="1" applyAlignment="1">
      <alignment vertical="center" wrapText="1"/>
    </xf>
    <xf numFmtId="49" fontId="4" fillId="16" borderId="39" xfId="0" applyNumberFormat="1" applyFont="1" applyFill="1" applyBorder="1" applyAlignment="1">
      <alignment horizontal="center" vertical="center"/>
    </xf>
    <xf numFmtId="0" fontId="9" fillId="15" borderId="10" xfId="0" applyFont="1" applyFill="1" applyBorder="1" applyAlignment="1">
      <alignment horizontal="center" vertical="center" wrapText="1"/>
    </xf>
    <xf numFmtId="0" fontId="0" fillId="0" borderId="10" xfId="0" applyBorder="1" applyAlignment="1">
      <alignment horizontal="center" vertical="center"/>
    </xf>
    <xf numFmtId="49" fontId="4" fillId="16" borderId="24" xfId="0" applyNumberFormat="1"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left" vertical="center"/>
    </xf>
    <xf numFmtId="0" fontId="12" fillId="0" borderId="44" xfId="0" applyFont="1" applyBorder="1" applyAlignment="1">
      <alignment vertical="center"/>
    </xf>
    <xf numFmtId="0" fontId="9" fillId="0" borderId="10" xfId="0" applyFont="1" applyBorder="1" applyAlignment="1">
      <alignment horizontal="center" vertical="center"/>
    </xf>
    <xf numFmtId="0" fontId="0" fillId="15" borderId="39" xfId="0" applyFill="1" applyBorder="1" applyAlignment="1">
      <alignment horizontal="center" vertical="top" wrapText="1"/>
    </xf>
    <xf numFmtId="0" fontId="0" fillId="15" borderId="22" xfId="0" applyFill="1" applyBorder="1" applyAlignment="1">
      <alignment horizontal="center" vertical="top" wrapText="1"/>
    </xf>
    <xf numFmtId="0" fontId="4" fillId="0" borderId="21" xfId="0" applyFont="1" applyBorder="1" applyAlignment="1">
      <alignment vertical="top" wrapText="1"/>
    </xf>
    <xf numFmtId="0" fontId="19" fillId="0" borderId="10" xfId="0" applyFont="1" applyFill="1" applyBorder="1" applyAlignment="1">
      <alignment vertical="center" wrapText="1"/>
    </xf>
    <xf numFmtId="0" fontId="19" fillId="0" borderId="10" xfId="0" applyFont="1" applyBorder="1" applyAlignment="1">
      <alignment vertical="center" wrapText="1"/>
    </xf>
    <xf numFmtId="0" fontId="19" fillId="0" borderId="10" xfId="0" applyFont="1" applyFill="1" applyBorder="1" applyAlignment="1">
      <alignment horizontal="left" vertical="center" wrapText="1"/>
    </xf>
    <xf numFmtId="0" fontId="19" fillId="0" borderId="10" xfId="0" applyFont="1" applyFill="1" applyBorder="1" applyAlignment="1">
      <alignment horizontal="center" vertical="center" wrapText="1"/>
    </xf>
    <xf numFmtId="0" fontId="19" fillId="16" borderId="10" xfId="0" applyFont="1" applyFill="1" applyBorder="1" applyAlignment="1">
      <alignment vertical="center" wrapText="1"/>
    </xf>
    <xf numFmtId="0" fontId="19" fillId="0" borderId="10" xfId="0" applyFont="1" applyBorder="1" applyAlignment="1">
      <alignment horizontal="center" vertical="center" wrapText="1"/>
    </xf>
    <xf numFmtId="0" fontId="19" fillId="24" borderId="10" xfId="0" applyFont="1" applyFill="1" applyBorder="1" applyAlignment="1">
      <alignment horizontal="center" vertical="center" wrapText="1"/>
    </xf>
    <xf numFmtId="1" fontId="19" fillId="16" borderId="10" xfId="0" applyNumberFormat="1" applyFont="1" applyFill="1" applyBorder="1" applyAlignment="1">
      <alignment horizontal="center" vertical="center" wrapText="1"/>
    </xf>
    <xf numFmtId="0" fontId="19" fillId="0" borderId="10" xfId="0" applyFont="1" applyBorder="1" applyAlignment="1">
      <alignment horizontal="left" vertical="center" wrapText="1"/>
    </xf>
    <xf numFmtId="0" fontId="19" fillId="24" borderId="10" xfId="0" applyFont="1" applyFill="1" applyBorder="1" applyAlignment="1">
      <alignment horizontal="left" vertical="center" wrapText="1"/>
    </xf>
    <xf numFmtId="0" fontId="4" fillId="0" borderId="75" xfId="0" applyFont="1" applyFill="1" applyBorder="1" applyAlignment="1">
      <alignment vertical="center"/>
    </xf>
    <xf numFmtId="0" fontId="4" fillId="0" borderId="10" xfId="0" applyFont="1" applyBorder="1" applyAlignment="1">
      <alignment vertical="center"/>
    </xf>
    <xf numFmtId="0" fontId="0" fillId="0" borderId="0" xfId="0" applyAlignment="1">
      <alignment vertical="top" wrapText="1"/>
    </xf>
    <xf numFmtId="0" fontId="9" fillId="0" borderId="10" xfId="0" applyFont="1" applyFill="1" applyBorder="1" applyAlignment="1">
      <alignment horizontal="center" vertical="center"/>
    </xf>
    <xf numFmtId="0" fontId="0" fillId="0" borderId="10" xfId="0" applyFill="1" applyBorder="1"/>
    <xf numFmtId="0" fontId="0" fillId="0" borderId="10" xfId="0" applyFill="1" applyBorder="1" applyAlignment="1">
      <alignment vertical="center"/>
    </xf>
    <xf numFmtId="0" fontId="0" fillId="0" borderId="51" xfId="0" applyBorder="1"/>
    <xf numFmtId="0" fontId="18" fillId="0" borderId="0" xfId="19" applyFont="1" applyAlignment="1">
      <alignment horizontal="left" vertical="center"/>
    </xf>
    <xf numFmtId="0" fontId="4" fillId="0" borderId="10" xfId="30" applyFont="1" applyBorder="1" applyAlignment="1">
      <alignment vertical="center"/>
    </xf>
    <xf numFmtId="49" fontId="4" fillId="16" borderId="21" xfId="0" applyNumberFormat="1" applyFont="1" applyFill="1" applyBorder="1" applyAlignment="1">
      <alignment horizontal="left" vertical="center"/>
    </xf>
    <xf numFmtId="0" fontId="18" fillId="0" borderId="0" xfId="19" applyFont="1" applyAlignment="1">
      <alignment horizontal="left" vertical="center" wrapText="1"/>
    </xf>
    <xf numFmtId="0" fontId="4" fillId="0" borderId="21" xfId="30" applyFont="1" applyBorder="1" applyAlignment="1">
      <alignment vertical="center"/>
    </xf>
    <xf numFmtId="0" fontId="8" fillId="15" borderId="18" xfId="19" applyFont="1" applyFill="1" applyBorder="1" applyAlignment="1">
      <alignment horizontal="center" vertical="center"/>
    </xf>
    <xf numFmtId="0" fontId="8" fillId="15" borderId="19" xfId="19" applyFont="1" applyFill="1" applyBorder="1" applyAlignment="1">
      <alignment horizontal="center" vertical="center" wrapText="1"/>
    </xf>
    <xf numFmtId="0" fontId="4" fillId="0" borderId="20" xfId="30" applyFont="1" applyBorder="1" applyAlignment="1">
      <alignment vertical="center" wrapText="1"/>
    </xf>
    <xf numFmtId="0" fontId="3" fillId="0" borderId="20" xfId="30" applyBorder="1" applyAlignment="1">
      <alignment vertical="center" wrapText="1"/>
    </xf>
    <xf numFmtId="49" fontId="4" fillId="16" borderId="22" xfId="0" applyNumberFormat="1" applyFont="1" applyFill="1" applyBorder="1" applyAlignment="1">
      <alignment horizontal="left" vertical="center" wrapText="1"/>
    </xf>
    <xf numFmtId="0" fontId="4" fillId="0" borderId="22" xfId="30" applyFont="1" applyBorder="1" applyAlignment="1">
      <alignment vertical="center" wrapText="1"/>
    </xf>
    <xf numFmtId="0" fontId="11" fillId="0" borderId="20" xfId="13" applyBorder="1" applyAlignment="1" applyProtection="1">
      <alignment vertical="center" wrapText="1"/>
    </xf>
    <xf numFmtId="0" fontId="0" fillId="0" borderId="0" xfId="0" applyAlignment="1">
      <alignment horizontal="left" vertical="center"/>
    </xf>
    <xf numFmtId="49" fontId="0" fillId="0" borderId="76" xfId="0" applyNumberFormat="1" applyBorder="1" applyAlignment="1">
      <alignment wrapText="1"/>
    </xf>
    <xf numFmtId="0" fontId="0" fillId="0" borderId="0" xfId="0" applyAlignment="1">
      <alignment horizontal="left" vertical="center"/>
    </xf>
    <xf numFmtId="0" fontId="0" fillId="0" borderId="0" xfId="0"/>
    <xf numFmtId="0" fontId="0" fillId="0" borderId="0" xfId="0" applyAlignment="1">
      <alignment horizontal="left" vertical="center"/>
    </xf>
    <xf numFmtId="0" fontId="0" fillId="0" borderId="0" xfId="0" applyFill="1" applyAlignment="1">
      <alignment horizontal="left" vertical="top" wrapText="1"/>
    </xf>
    <xf numFmtId="0" fontId="0" fillId="0" borderId="0" xfId="0" applyAlignment="1">
      <alignment horizontal="left" vertical="center"/>
    </xf>
    <xf numFmtId="0" fontId="0" fillId="0" borderId="0" xfId="0" applyAlignment="1">
      <alignment horizontal="left" vertical="center"/>
    </xf>
    <xf numFmtId="0" fontId="0" fillId="16" borderId="0" xfId="0" applyFill="1" applyAlignment="1">
      <alignment horizontal="left" vertical="center"/>
    </xf>
    <xf numFmtId="0" fontId="19" fillId="16" borderId="10" xfId="0" applyFont="1" applyFill="1" applyBorder="1" applyAlignment="1">
      <alignment horizontal="center" vertical="center" wrapText="1"/>
    </xf>
    <xf numFmtId="0" fontId="43" fillId="16" borderId="10" xfId="0" applyFont="1" applyFill="1" applyBorder="1" applyAlignment="1">
      <alignment horizontal="center" vertical="center" wrapText="1"/>
    </xf>
    <xf numFmtId="164" fontId="19" fillId="16" borderId="10" xfId="0" applyNumberFormat="1" applyFont="1" applyFill="1" applyBorder="1" applyAlignment="1">
      <alignment horizontal="center" vertical="center" wrapText="1"/>
    </xf>
    <xf numFmtId="0" fontId="0" fillId="16" borderId="0" xfId="0" applyFill="1" applyAlignment="1">
      <alignment horizontal="left" vertical="center"/>
    </xf>
    <xf numFmtId="0" fontId="11" fillId="0" borderId="10" xfId="13" applyFill="1" applyBorder="1" applyAlignment="1" applyProtection="1">
      <alignment horizontal="left" vertical="center" wrapText="1"/>
    </xf>
    <xf numFmtId="0" fontId="4" fillId="37" borderId="13" xfId="0" applyFont="1" applyFill="1" applyBorder="1" applyAlignment="1">
      <alignment horizontal="center" vertical="center"/>
    </xf>
    <xf numFmtId="0" fontId="4" fillId="37" borderId="14" xfId="0" applyFont="1" applyFill="1" applyBorder="1" applyAlignment="1">
      <alignment horizontal="center" vertical="center"/>
    </xf>
    <xf numFmtId="0" fontId="4" fillId="37" borderId="11" xfId="0" applyFont="1" applyFill="1" applyBorder="1" applyAlignment="1">
      <alignment horizontal="center" vertical="center"/>
    </xf>
    <xf numFmtId="0" fontId="4" fillId="37" borderId="15" xfId="0" applyFont="1" applyFill="1" applyBorder="1" applyAlignment="1">
      <alignment horizontal="center" vertical="center"/>
    </xf>
    <xf numFmtId="0" fontId="4" fillId="37" borderId="16" xfId="0" applyFont="1" applyFill="1" applyBorder="1" applyAlignment="1">
      <alignment horizontal="center" vertical="center"/>
    </xf>
    <xf numFmtId="0" fontId="4" fillId="36" borderId="15" xfId="0" applyFont="1" applyFill="1" applyBorder="1" applyAlignment="1">
      <alignment horizontal="center" vertical="center"/>
    </xf>
    <xf numFmtId="0" fontId="4" fillId="36" borderId="16" xfId="0" applyFont="1" applyFill="1" applyBorder="1" applyAlignment="1">
      <alignment horizontal="center" vertical="center"/>
    </xf>
    <xf numFmtId="0" fontId="4" fillId="36" borderId="11" xfId="0" applyFont="1" applyFill="1" applyBorder="1" applyAlignment="1">
      <alignment horizontal="center" vertical="center"/>
    </xf>
    <xf numFmtId="0" fontId="4" fillId="38" borderId="17" xfId="0" applyFont="1" applyFill="1" applyBorder="1" applyAlignment="1">
      <alignment horizontal="center" vertical="center"/>
    </xf>
    <xf numFmtId="0" fontId="4" fillId="38" borderId="15" xfId="0" applyFont="1" applyFill="1" applyBorder="1" applyAlignment="1">
      <alignment horizontal="center" vertical="center"/>
    </xf>
    <xf numFmtId="0" fontId="4" fillId="38" borderId="16" xfId="0" applyFont="1" applyFill="1" applyBorder="1" applyAlignment="1">
      <alignment horizontal="center" vertical="center"/>
    </xf>
    <xf numFmtId="0" fontId="4" fillId="38" borderId="11" xfId="0" applyFont="1" applyFill="1" applyBorder="1" applyAlignment="1">
      <alignment horizontal="center" vertical="center"/>
    </xf>
    <xf numFmtId="0" fontId="4" fillId="35" borderId="15" xfId="0" applyFont="1" applyFill="1" applyBorder="1" applyAlignment="1">
      <alignment horizontal="center" vertical="center"/>
    </xf>
    <xf numFmtId="0" fontId="4" fillId="35" borderId="16" xfId="0" applyFont="1" applyFill="1" applyBorder="1" applyAlignment="1">
      <alignment horizontal="center" vertical="center"/>
    </xf>
    <xf numFmtId="0" fontId="4" fillId="35" borderId="17"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5" xfId="0" applyFont="1" applyFill="1" applyBorder="1" applyAlignment="1">
      <alignment horizontal="center" vertical="center"/>
    </xf>
    <xf numFmtId="0" fontId="0" fillId="0" borderId="0" xfId="0" applyBorder="1" applyAlignment="1">
      <alignment horizontal="left" vertical="top"/>
    </xf>
    <xf numFmtId="0" fontId="13" fillId="16" borderId="0" xfId="0" applyFont="1" applyFill="1" applyBorder="1" applyAlignment="1">
      <alignment horizontal="left" vertical="top" wrapText="1"/>
    </xf>
    <xf numFmtId="0" fontId="69" fillId="0" borderId="0" xfId="0" applyFont="1" applyAlignment="1">
      <alignment horizontal="left" vertical="center"/>
    </xf>
    <xf numFmtId="0" fontId="70" fillId="0" borderId="0" xfId="0" applyFont="1" applyAlignment="1">
      <alignment horizontal="center"/>
    </xf>
    <xf numFmtId="0" fontId="70" fillId="0" borderId="0" xfId="0" applyFont="1"/>
    <xf numFmtId="0" fontId="71" fillId="0" borderId="0" xfId="0" applyFont="1" applyAlignment="1">
      <alignment vertical="center"/>
    </xf>
    <xf numFmtId="0" fontId="4" fillId="0" borderId="0" xfId="0" applyFont="1" applyAlignment="1">
      <alignment vertical="top" wrapText="1"/>
    </xf>
    <xf numFmtId="0" fontId="52" fillId="0" borderId="0" xfId="0" applyFont="1" applyFill="1" applyAlignment="1">
      <alignment vertical="top" wrapText="1"/>
    </xf>
    <xf numFmtId="0" fontId="0" fillId="0" borderId="10" xfId="0" applyFill="1" applyBorder="1" applyAlignment="1">
      <alignment horizontal="center" vertical="center"/>
    </xf>
    <xf numFmtId="0" fontId="0" fillId="0" borderId="10" xfId="0" applyBorder="1" applyAlignment="1">
      <alignment horizontal="left"/>
    </xf>
    <xf numFmtId="0" fontId="4" fillId="0" borderId="10" xfId="0" applyFont="1" applyBorder="1" applyAlignment="1">
      <alignment horizontal="left" vertical="center"/>
    </xf>
    <xf numFmtId="0" fontId="0" fillId="0" borderId="0" xfId="0" applyAlignment="1">
      <alignment horizontal="left" vertical="center"/>
    </xf>
    <xf numFmtId="49" fontId="4" fillId="16" borderId="77" xfId="0" applyNumberFormat="1" applyFont="1" applyFill="1" applyBorder="1" applyAlignment="1">
      <alignment horizontal="center" vertical="center"/>
    </xf>
    <xf numFmtId="49" fontId="3" fillId="0" borderId="79" xfId="30" applyNumberFormat="1" applyBorder="1" applyAlignment="1">
      <alignment vertical="center" wrapText="1"/>
    </xf>
    <xf numFmtId="0" fontId="0" fillId="0" borderId="0" xfId="0" applyAlignment="1">
      <alignment horizontal="left" vertical="center"/>
    </xf>
    <xf numFmtId="0" fontId="0" fillId="16" borderId="0" xfId="0" applyFill="1" applyAlignment="1">
      <alignment horizontal="left" vertical="center"/>
    </xf>
    <xf numFmtId="0" fontId="0" fillId="0" borderId="0" xfId="0" applyAlignment="1">
      <alignment horizontal="left" vertical="center"/>
    </xf>
    <xf numFmtId="0" fontId="15" fillId="0" borderId="0" xfId="0" applyFont="1" applyAlignment="1">
      <alignment horizontal="left" vertical="center" wrapText="1"/>
    </xf>
    <xf numFmtId="0" fontId="11" fillId="0" borderId="0" xfId="13" applyAlignment="1" applyProtection="1"/>
    <xf numFmtId="0" fontId="0" fillId="0" borderId="0" xfId="0" applyAlignment="1">
      <alignment horizontal="left"/>
    </xf>
    <xf numFmtId="0" fontId="18" fillId="0" borderId="0" xfId="0" applyFont="1" applyAlignment="1"/>
    <xf numFmtId="0" fontId="4" fillId="0" borderId="0" xfId="0" applyFont="1" applyAlignment="1"/>
    <xf numFmtId="0" fontId="0" fillId="0" borderId="0" xfId="0" applyFill="1" applyBorder="1"/>
    <xf numFmtId="0" fontId="21" fillId="0" borderId="0" xfId="0" applyFont="1" applyFill="1" applyBorder="1" applyAlignment="1">
      <alignment vertical="center" wrapText="1"/>
    </xf>
    <xf numFmtId="0" fontId="4" fillId="0" borderId="45" xfId="0" applyFont="1" applyBorder="1" applyAlignment="1">
      <alignment horizontal="left"/>
    </xf>
    <xf numFmtId="0" fontId="4" fillId="0" borderId="51" xfId="0" applyFont="1" applyFill="1" applyBorder="1" applyAlignment="1">
      <alignment horizontal="left" vertical="top" wrapText="1"/>
    </xf>
    <xf numFmtId="0" fontId="0" fillId="0" borderId="51" xfId="0" applyFill="1" applyBorder="1" applyAlignment="1">
      <alignment horizontal="left" vertical="top" wrapText="1"/>
    </xf>
    <xf numFmtId="0" fontId="4" fillId="0" borderId="52" xfId="0" applyFont="1" applyFill="1" applyBorder="1" applyAlignment="1">
      <alignment horizontal="left" vertical="top" wrapText="1"/>
    </xf>
    <xf numFmtId="0" fontId="0" fillId="16" borderId="0" xfId="0" applyFill="1" applyAlignment="1">
      <alignment horizontal="left" vertical="center"/>
    </xf>
    <xf numFmtId="49" fontId="4" fillId="0" borderId="76" xfId="0" applyNumberFormat="1" applyFont="1" applyFill="1" applyBorder="1" applyAlignment="1">
      <alignment wrapText="1"/>
    </xf>
    <xf numFmtId="0" fontId="0" fillId="0" borderId="0" xfId="0" applyAlignment="1">
      <alignment horizontal="left" vertical="center"/>
    </xf>
    <xf numFmtId="0" fontId="13" fillId="0" borderId="10" xfId="0" applyFont="1" applyFill="1" applyBorder="1" applyAlignment="1">
      <alignment horizontal="center" vertical="center"/>
    </xf>
    <xf numFmtId="0" fontId="0" fillId="0" borderId="0" xfId="0" applyFill="1" applyAlignment="1">
      <alignment horizontal="left" vertical="center"/>
    </xf>
    <xf numFmtId="0" fontId="13" fillId="0" borderId="10" xfId="0" applyFont="1" applyBorder="1" applyAlignment="1">
      <alignment horizontal="left" vertical="top"/>
    </xf>
    <xf numFmtId="0" fontId="89" fillId="0" borderId="10" xfId="0" applyFont="1" applyFill="1" applyBorder="1" applyAlignment="1">
      <alignment horizontal="left" vertical="center" wrapText="1"/>
    </xf>
    <xf numFmtId="0" fontId="4" fillId="0" borderId="10" xfId="16" applyFont="1" applyBorder="1" applyAlignment="1">
      <alignment vertical="center" wrapText="1"/>
    </xf>
    <xf numFmtId="0" fontId="13" fillId="0" borderId="10" xfId="16" applyFont="1" applyBorder="1" applyAlignment="1">
      <alignment vertical="center" wrapText="1"/>
    </xf>
    <xf numFmtId="0" fontId="4" fillId="0" borderId="10" xfId="16" applyFont="1" applyFill="1" applyBorder="1" applyAlignment="1">
      <alignment vertical="center" wrapText="1"/>
    </xf>
    <xf numFmtId="0" fontId="13" fillId="0" borderId="0" xfId="0" applyFont="1" applyAlignment="1">
      <alignment horizontal="right" vertical="top"/>
    </xf>
    <xf numFmtId="0" fontId="13" fillId="0" borderId="0" xfId="0" applyFont="1" applyAlignment="1">
      <alignment horizontal="right" vertical="top" wrapText="1"/>
    </xf>
    <xf numFmtId="0" fontId="15" fillId="41" borderId="10" xfId="0" applyFont="1" applyFill="1" applyBorder="1" applyAlignment="1">
      <alignment horizontal="center" vertical="center" wrapText="1"/>
    </xf>
    <xf numFmtId="0" fontId="53" fillId="0" borderId="0" xfId="13" applyFont="1" applyFill="1" applyAlignment="1" applyProtection="1">
      <alignment vertical="top" wrapText="1"/>
    </xf>
    <xf numFmtId="0" fontId="0" fillId="16" borderId="0" xfId="0" applyFill="1" applyAlignment="1">
      <alignment horizontal="left" vertical="center"/>
    </xf>
    <xf numFmtId="0" fontId="0" fillId="0" borderId="0" xfId="0" applyAlignment="1">
      <alignment horizontal="left" vertical="center"/>
    </xf>
    <xf numFmtId="0" fontId="21" fillId="0" borderId="10" xfId="16" applyFont="1" applyBorder="1" applyAlignment="1">
      <alignment vertical="center" wrapText="1"/>
    </xf>
    <xf numFmtId="0" fontId="0" fillId="0" borderId="0" xfId="0" applyAlignment="1">
      <alignment horizontal="left" vertical="center"/>
    </xf>
    <xf numFmtId="0" fontId="0" fillId="16" borderId="0" xfId="0" applyFill="1" applyAlignment="1">
      <alignment horizontal="left" vertical="center"/>
    </xf>
    <xf numFmtId="0" fontId="77" fillId="0" borderId="10" xfId="0" applyFont="1" applyFill="1" applyBorder="1" applyAlignment="1">
      <alignment horizontal="center" vertical="center"/>
    </xf>
    <xf numFmtId="0" fontId="91" fillId="0" borderId="0" xfId="0" applyFont="1" applyAlignment="1">
      <alignment vertical="center"/>
    </xf>
    <xf numFmtId="0" fontId="0" fillId="0" borderId="0" xfId="0" applyAlignment="1">
      <alignment horizontal="left" vertical="center"/>
    </xf>
    <xf numFmtId="0" fontId="16" fillId="0" borderId="0" xfId="0" applyFont="1" applyAlignment="1">
      <alignment horizontal="center" wrapText="1"/>
    </xf>
    <xf numFmtId="0" fontId="0" fillId="16" borderId="0" xfId="0" applyFill="1" applyAlignment="1">
      <alignment horizontal="left"/>
    </xf>
    <xf numFmtId="0" fontId="12" fillId="0" borderId="0" xfId="0" applyFont="1" applyAlignment="1">
      <alignment horizontal="center" vertical="top"/>
    </xf>
    <xf numFmtId="0" fontId="0" fillId="0" borderId="0" xfId="0" applyAlignment="1">
      <alignment horizontal="left" vertical="center"/>
    </xf>
    <xf numFmtId="0" fontId="14" fillId="15" borderId="10" xfId="0" applyFont="1" applyFill="1" applyBorder="1" applyAlignment="1">
      <alignment horizontal="center" vertical="center" wrapText="1"/>
    </xf>
    <xf numFmtId="0" fontId="0" fillId="0" borderId="10" xfId="0" applyBorder="1" applyAlignment="1">
      <alignment horizontal="left" vertical="center"/>
    </xf>
    <xf numFmtId="0" fontId="0" fillId="16" borderId="0" xfId="0" applyFill="1" applyAlignment="1">
      <alignment horizontal="left" vertical="center"/>
    </xf>
    <xf numFmtId="0" fontId="14" fillId="15" borderId="40" xfId="0" applyFont="1" applyFill="1" applyBorder="1" applyAlignment="1">
      <alignment horizontal="center" vertical="center" wrapText="1"/>
    </xf>
    <xf numFmtId="0" fontId="0" fillId="16" borderId="40" xfId="0" applyFill="1" applyBorder="1" applyAlignment="1">
      <alignment horizontal="center" vertical="center"/>
    </xf>
    <xf numFmtId="0" fontId="21" fillId="0" borderId="31" xfId="0" applyFont="1" applyBorder="1" applyAlignment="1">
      <alignment horizontal="left" vertical="top" wrapText="1"/>
    </xf>
    <xf numFmtId="0" fontId="13" fillId="0" borderId="0" xfId="0" applyFont="1" applyAlignment="1">
      <alignment vertical="top" wrapText="1"/>
    </xf>
    <xf numFmtId="0" fontId="14" fillId="41" borderId="102" xfId="0" applyFont="1" applyFill="1" applyBorder="1" applyAlignment="1">
      <alignment horizontal="center" vertical="center" wrapText="1"/>
    </xf>
    <xf numFmtId="0" fontId="44" fillId="0" borderId="0" xfId="0" applyFont="1" applyBorder="1" applyAlignment="1">
      <alignment horizontal="center" vertical="center" wrapText="1"/>
    </xf>
    <xf numFmtId="0" fontId="13" fillId="0" borderId="0" xfId="0" applyFont="1" applyBorder="1" applyAlignment="1">
      <alignment vertical="center" wrapText="1"/>
    </xf>
    <xf numFmtId="0" fontId="13" fillId="0" borderId="0" xfId="0" applyFont="1" applyBorder="1" applyAlignment="1">
      <alignment horizontal="center" wrapText="1"/>
    </xf>
    <xf numFmtId="0" fontId="9" fillId="0" borderId="0" xfId="0" applyNumberFormat="1" applyFont="1" applyFill="1" applyAlignment="1">
      <alignment horizontal="center" vertical="top"/>
    </xf>
    <xf numFmtId="0" fontId="9" fillId="0" borderId="0" xfId="0" applyFont="1" applyFill="1" applyBorder="1" applyAlignment="1">
      <alignment horizontal="center" vertical="top"/>
    </xf>
    <xf numFmtId="0" fontId="9" fillId="0" borderId="0" xfId="0" applyFont="1" applyFill="1" applyAlignment="1">
      <alignment horizontal="center" vertical="top"/>
    </xf>
    <xf numFmtId="0" fontId="7" fillId="0" borderId="0" xfId="0" applyFont="1"/>
    <xf numFmtId="0" fontId="4" fillId="20" borderId="10" xfId="0" applyFont="1" applyFill="1" applyBorder="1" applyAlignment="1">
      <alignment horizontal="center" vertical="center" wrapText="1"/>
    </xf>
    <xf numFmtId="0" fontId="4" fillId="0" borderId="10" xfId="0" applyFont="1" applyFill="1" applyBorder="1" applyAlignment="1">
      <alignment horizontal="center" vertical="center" wrapText="1"/>
    </xf>
    <xf numFmtId="0" fontId="4" fillId="20" borderId="21" xfId="0" applyFont="1" applyFill="1" applyBorder="1" applyAlignment="1">
      <alignment horizontal="center" vertical="center" wrapText="1"/>
    </xf>
    <xf numFmtId="0" fontId="4" fillId="0" borderId="21" xfId="0" applyFont="1" applyFill="1" applyBorder="1" applyAlignment="1">
      <alignment horizontal="center" vertical="center" wrapText="1"/>
    </xf>
    <xf numFmtId="0" fontId="19" fillId="16" borderId="10" xfId="0" applyFont="1" applyFill="1" applyBorder="1" applyAlignment="1">
      <alignment horizontal="justify" vertical="center" wrapText="1"/>
    </xf>
    <xf numFmtId="0" fontId="58" fillId="16" borderId="0" xfId="0" applyFont="1" applyFill="1" applyAlignment="1">
      <alignment horizontal="left" wrapText="1"/>
    </xf>
    <xf numFmtId="0" fontId="86" fillId="0" borderId="0" xfId="0" applyFont="1" applyFill="1" applyAlignment="1">
      <alignment vertical="top"/>
    </xf>
    <xf numFmtId="0" fontId="0" fillId="0" borderId="0" xfId="0" quotePrefix="1" applyAlignment="1">
      <alignment horizontal="left" vertical="center"/>
    </xf>
    <xf numFmtId="0" fontId="13" fillId="0" borderId="10" xfId="0" applyFont="1" applyBorder="1" applyAlignment="1">
      <alignment horizontal="center" vertical="center"/>
    </xf>
    <xf numFmtId="0" fontId="0" fillId="0" borderId="0" xfId="0" applyAlignment="1">
      <alignment horizontal="left" vertical="center"/>
    </xf>
    <xf numFmtId="49" fontId="13" fillId="0" borderId="0" xfId="0" applyNumberFormat="1" applyFont="1" applyFill="1" applyAlignment="1">
      <alignment vertical="top" wrapText="1"/>
    </xf>
    <xf numFmtId="0" fontId="14" fillId="15" borderId="10" xfId="0" applyFont="1" applyFill="1" applyBorder="1" applyAlignment="1">
      <alignment horizontal="center" vertical="center" wrapText="1"/>
    </xf>
    <xf numFmtId="0" fontId="4" fillId="0" borderId="10" xfId="16" applyBorder="1" applyAlignment="1">
      <alignment vertical="center" wrapText="1"/>
    </xf>
    <xf numFmtId="0" fontId="4" fillId="0" borderId="0" xfId="16"/>
    <xf numFmtId="0" fontId="0" fillId="16" borderId="10" xfId="0" applyFill="1" applyBorder="1" applyAlignment="1">
      <alignment vertical="center"/>
    </xf>
    <xf numFmtId="0" fontId="4" fillId="0" borderId="0" xfId="0" applyFont="1" applyFill="1" applyAlignment="1">
      <alignment horizontal="left" vertical="center"/>
    </xf>
    <xf numFmtId="0" fontId="0" fillId="16" borderId="10" xfId="0" applyFill="1" applyBorder="1" applyAlignment="1">
      <alignment vertical="center" wrapText="1"/>
    </xf>
    <xf numFmtId="0" fontId="21" fillId="41" borderId="10" xfId="16" applyFont="1" applyFill="1" applyBorder="1" applyAlignment="1">
      <alignment horizontal="center" vertical="center" wrapText="1"/>
    </xf>
    <xf numFmtId="0" fontId="9" fillId="0" borderId="0" xfId="19" applyFont="1" applyAlignment="1">
      <alignment horizontal="center" vertical="center" wrapText="1"/>
    </xf>
    <xf numFmtId="49" fontId="4" fillId="0" borderId="24" xfId="0" applyNumberFormat="1" applyFont="1" applyBorder="1" applyAlignment="1">
      <alignment horizontal="center" vertical="center"/>
    </xf>
    <xf numFmtId="0" fontId="4" fillId="0" borderId="0" xfId="0" applyFont="1" applyAlignment="1">
      <alignment vertical="center"/>
    </xf>
    <xf numFmtId="0" fontId="4" fillId="0" borderId="24" xfId="0" applyFont="1" applyBorder="1" applyAlignment="1">
      <alignment horizontal="center" vertical="center"/>
    </xf>
    <xf numFmtId="0" fontId="4" fillId="0" borderId="10" xfId="16" applyBorder="1" applyAlignment="1">
      <alignment vertical="center"/>
    </xf>
    <xf numFmtId="0" fontId="4" fillId="0" borderId="20" xfId="16" applyBorder="1" applyAlignment="1">
      <alignment vertical="center" wrapText="1"/>
    </xf>
    <xf numFmtId="49" fontId="4" fillId="0" borderId="77" xfId="0" applyNumberFormat="1" applyFont="1" applyBorder="1" applyAlignment="1">
      <alignment horizontal="center" vertical="center"/>
    </xf>
    <xf numFmtId="0" fontId="4" fillId="0" borderId="78" xfId="16" applyBorder="1" applyAlignment="1">
      <alignment vertical="center"/>
    </xf>
    <xf numFmtId="0" fontId="4" fillId="0" borderId="79" xfId="16" applyBorder="1" applyAlignment="1">
      <alignment vertical="center" wrapText="1"/>
    </xf>
    <xf numFmtId="49" fontId="4" fillId="0" borderId="39" xfId="0" applyNumberFormat="1" applyFont="1" applyBorder="1" applyAlignment="1">
      <alignment horizontal="center" vertical="center"/>
    </xf>
    <xf numFmtId="49" fontId="4" fillId="0" borderId="21" xfId="16" applyNumberFormat="1" applyBorder="1" applyAlignment="1">
      <alignment vertical="center"/>
    </xf>
    <xf numFmtId="49" fontId="4" fillId="0" borderId="22" xfId="16" applyNumberFormat="1" applyBorder="1" applyAlignment="1">
      <alignment vertical="center" wrapText="1"/>
    </xf>
    <xf numFmtId="0" fontId="2" fillId="0" borderId="10" xfId="30" applyFont="1" applyBorder="1" applyAlignment="1">
      <alignment vertical="center"/>
    </xf>
    <xf numFmtId="0" fontId="2" fillId="0" borderId="20" xfId="30" applyFont="1" applyBorder="1" applyAlignment="1">
      <alignment vertical="center" wrapText="1"/>
    </xf>
    <xf numFmtId="49" fontId="2" fillId="0" borderId="78" xfId="30" applyNumberFormat="1" applyFont="1" applyBorder="1" applyAlignment="1">
      <alignment vertical="center"/>
    </xf>
    <xf numFmtId="0" fontId="2" fillId="0" borderId="78" xfId="30" applyFont="1" applyBorder="1" applyAlignment="1">
      <alignment vertical="center"/>
    </xf>
    <xf numFmtId="0" fontId="2" fillId="0" borderId="79" xfId="30" applyFont="1" applyBorder="1" applyAlignment="1">
      <alignment vertical="center" wrapText="1"/>
    </xf>
    <xf numFmtId="0" fontId="2" fillId="0" borderId="21" xfId="30" applyFont="1" applyBorder="1" applyAlignment="1">
      <alignment vertical="center"/>
    </xf>
    <xf numFmtId="0" fontId="2" fillId="0" borderId="22" xfId="30" applyFont="1" applyBorder="1" applyAlignment="1">
      <alignment vertical="center" wrapText="1"/>
    </xf>
    <xf numFmtId="0" fontId="4" fillId="0" borderId="78" xfId="30" applyFont="1" applyBorder="1" applyAlignment="1">
      <alignment vertical="center"/>
    </xf>
    <xf numFmtId="0" fontId="4" fillId="0" borderId="79" xfId="30" applyFont="1" applyBorder="1" applyAlignment="1">
      <alignment vertical="center" wrapText="1"/>
    </xf>
    <xf numFmtId="0" fontId="3" fillId="0" borderId="22" xfId="30" applyBorder="1" applyAlignment="1">
      <alignment vertical="center" wrapText="1"/>
    </xf>
    <xf numFmtId="0" fontId="4" fillId="0" borderId="77" xfId="0" applyFont="1" applyBorder="1" applyAlignment="1">
      <alignment horizontal="center" vertical="center"/>
    </xf>
    <xf numFmtId="0" fontId="4" fillId="0" borderId="10" xfId="0" applyFont="1" applyBorder="1"/>
    <xf numFmtId="0" fontId="21" fillId="15" borderId="10" xfId="0" applyFont="1" applyFill="1" applyBorder="1" applyAlignment="1">
      <alignment horizontal="center" vertical="center" wrapText="1"/>
    </xf>
    <xf numFmtId="0" fontId="4" fillId="23" borderId="10" xfId="0" applyFont="1" applyFill="1" applyBorder="1"/>
    <xf numFmtId="0" fontId="4" fillId="25" borderId="10" xfId="0" applyFont="1" applyFill="1" applyBorder="1"/>
    <xf numFmtId="49" fontId="1" fillId="0" borderId="76" xfId="34" applyNumberFormat="1" applyFont="1" applyFill="1" applyBorder="1" applyAlignment="1">
      <alignment wrapText="1"/>
    </xf>
    <xf numFmtId="49" fontId="4" fillId="0" borderId="76" xfId="34" applyNumberFormat="1" applyFont="1" applyBorder="1" applyAlignment="1">
      <alignment vertical="top" wrapText="1"/>
    </xf>
    <xf numFmtId="49" fontId="1" fillId="0" borderId="76" xfId="34" applyNumberFormat="1" applyFont="1" applyBorder="1" applyAlignment="1">
      <alignment wrapText="1"/>
    </xf>
    <xf numFmtId="49" fontId="4" fillId="0" borderId="76" xfId="34" applyNumberFormat="1" applyFont="1" applyFill="1" applyBorder="1" applyAlignment="1">
      <alignment wrapText="1"/>
    </xf>
    <xf numFmtId="0" fontId="0" fillId="23" borderId="0" xfId="0" applyFill="1" applyAlignment="1">
      <alignment horizontal="left" vertical="center"/>
    </xf>
    <xf numFmtId="0" fontId="0" fillId="0" borderId="0" xfId="0" applyAlignment="1">
      <alignment horizontal="left" vertical="center"/>
    </xf>
    <xf numFmtId="0" fontId="0" fillId="0" borderId="0" xfId="0" applyAlignment="1">
      <alignment horizontal="left" vertical="center"/>
    </xf>
    <xf numFmtId="0" fontId="13" fillId="16" borderId="10" xfId="0" applyFont="1" applyFill="1" applyBorder="1" applyAlignment="1">
      <alignment horizontal="left" vertical="center" wrapText="1"/>
    </xf>
    <xf numFmtId="0" fontId="4" fillId="0" borderId="42" xfId="0" applyFont="1" applyBorder="1" applyAlignment="1">
      <alignment horizontal="center" vertical="top" wrapText="1"/>
    </xf>
    <xf numFmtId="0" fontId="4" fillId="0" borderId="43" xfId="0" applyFont="1" applyBorder="1" applyAlignment="1">
      <alignment horizontal="center" vertical="top" wrapText="1"/>
    </xf>
    <xf numFmtId="0" fontId="4" fillId="0" borderId="10" xfId="0" applyFont="1" applyBorder="1" applyAlignment="1">
      <alignment horizontal="center" vertical="top" wrapText="1"/>
    </xf>
    <xf numFmtId="0" fontId="4" fillId="24" borderId="10" xfId="0" applyFont="1" applyFill="1" applyBorder="1" applyAlignment="1">
      <alignment vertical="top" wrapText="1"/>
    </xf>
    <xf numFmtId="0" fontId="19" fillId="0" borderId="42" xfId="0" applyFont="1" applyBorder="1" applyAlignment="1">
      <alignment horizontal="center" vertical="center" wrapText="1"/>
    </xf>
    <xf numFmtId="0" fontId="11" fillId="16" borderId="10" xfId="13" applyFill="1" applyBorder="1" applyAlignment="1" applyProtection="1">
      <alignment horizontal="center" vertical="center" wrapText="1"/>
    </xf>
    <xf numFmtId="164" fontId="0" fillId="0" borderId="10" xfId="0" applyNumberFormat="1" applyBorder="1" applyAlignment="1">
      <alignment horizontal="center" vertical="center"/>
    </xf>
    <xf numFmtId="0" fontId="11" fillId="0" borderId="10" xfId="13" applyBorder="1" applyAlignment="1" applyProtection="1">
      <alignment horizontal="left" vertical="top"/>
    </xf>
    <xf numFmtId="0" fontId="4" fillId="0" borderId="10" xfId="0" applyFont="1" applyBorder="1" applyAlignment="1">
      <alignment vertical="top" wrapText="1"/>
    </xf>
    <xf numFmtId="0" fontId="19" fillId="0" borderId="42" xfId="0" applyFont="1" applyBorder="1" applyAlignment="1">
      <alignment horizontal="left" vertical="center" wrapText="1"/>
    </xf>
    <xf numFmtId="0" fontId="89" fillId="0" borderId="10" xfId="0" applyFont="1" applyBorder="1" applyAlignment="1">
      <alignment horizontal="left" vertical="center" wrapText="1"/>
    </xf>
    <xf numFmtId="0" fontId="0" fillId="0" borderId="10" xfId="0" applyBorder="1" applyAlignment="1">
      <alignment vertical="top" wrapText="1"/>
    </xf>
    <xf numFmtId="0" fontId="0" fillId="23" borderId="10" xfId="0" applyFill="1" applyBorder="1" applyAlignment="1">
      <alignment vertical="top" wrapText="1"/>
    </xf>
    <xf numFmtId="0" fontId="4" fillId="22" borderId="40" xfId="16" applyFill="1" applyBorder="1" applyAlignment="1">
      <alignment horizontal="center" vertical="center" wrapText="1"/>
    </xf>
    <xf numFmtId="0" fontId="4" fillId="22" borderId="41" xfId="16" applyFill="1" applyBorder="1" applyAlignment="1">
      <alignment horizontal="center" vertical="center" wrapText="1"/>
    </xf>
    <xf numFmtId="0" fontId="4" fillId="22" borderId="10" xfId="0" applyFont="1" applyFill="1" applyBorder="1" applyAlignment="1">
      <alignment horizontal="center" vertical="center" wrapText="1"/>
    </xf>
    <xf numFmtId="0" fontId="39" fillId="0" borderId="0" xfId="0" applyFont="1" applyAlignment="1">
      <alignment horizontal="center" wrapText="1"/>
    </xf>
    <xf numFmtId="0" fontId="16" fillId="0" borderId="0" xfId="0" applyFont="1" applyAlignment="1">
      <alignment horizontal="center" wrapText="1"/>
    </xf>
    <xf numFmtId="0" fontId="16" fillId="22" borderId="10" xfId="0" applyFont="1" applyFill="1" applyBorder="1" applyAlignment="1">
      <alignment horizontal="center" vertical="center" wrapText="1"/>
    </xf>
    <xf numFmtId="0" fontId="16" fillId="22" borderId="10" xfId="16" applyFont="1" applyFill="1" applyBorder="1" applyAlignment="1">
      <alignment horizontal="center" vertical="center" wrapText="1"/>
    </xf>
    <xf numFmtId="0" fontId="16" fillId="42" borderId="40" xfId="16" applyFont="1" applyFill="1" applyBorder="1" applyAlignment="1">
      <alignment horizontal="center" vertical="center" wrapText="1"/>
    </xf>
    <xf numFmtId="0" fontId="16" fillId="42" borderId="41" xfId="16" applyFont="1" applyFill="1" applyBorder="1" applyAlignment="1">
      <alignment horizontal="center" vertical="center" wrapText="1"/>
    </xf>
    <xf numFmtId="0" fontId="4" fillId="16" borderId="0" xfId="0" applyFont="1" applyFill="1" applyAlignment="1">
      <alignment horizontal="left" wrapText="1"/>
    </xf>
    <xf numFmtId="0" fontId="0" fillId="16" borderId="0" xfId="0" applyFill="1" applyAlignment="1">
      <alignment horizontal="left"/>
    </xf>
    <xf numFmtId="0" fontId="21" fillId="15" borderId="10" xfId="0" applyFont="1" applyFill="1" applyBorder="1" applyAlignment="1">
      <alignment horizontal="center" vertical="center" wrapText="1"/>
    </xf>
    <xf numFmtId="0" fontId="19" fillId="16" borderId="10" xfId="0" applyFont="1" applyFill="1" applyBorder="1" applyAlignment="1">
      <alignment horizontal="justify" vertical="center" wrapText="1"/>
    </xf>
    <xf numFmtId="0" fontId="43" fillId="16" borderId="10" xfId="0" applyFont="1" applyFill="1" applyBorder="1" applyAlignment="1">
      <alignment horizontal="justify" vertical="center" wrapText="1"/>
    </xf>
    <xf numFmtId="0" fontId="19" fillId="16" borderId="40" xfId="0" applyFont="1" applyFill="1" applyBorder="1" applyAlignment="1">
      <alignment horizontal="left" vertical="center" wrapText="1"/>
    </xf>
    <xf numFmtId="0" fontId="19" fillId="16" borderId="41" xfId="0" applyFont="1" applyFill="1" applyBorder="1" applyAlignment="1">
      <alignment horizontal="left" vertical="center" wrapText="1"/>
    </xf>
    <xf numFmtId="0" fontId="21" fillId="0" borderId="75" xfId="16" applyFont="1" applyBorder="1" applyAlignment="1">
      <alignment horizontal="left" vertical="center" wrapText="1"/>
    </xf>
    <xf numFmtId="0" fontId="21" fillId="0" borderId="42" xfId="16" applyFont="1" applyBorder="1" applyAlignment="1">
      <alignment horizontal="left" vertical="center" wrapText="1"/>
    </xf>
    <xf numFmtId="0" fontId="71" fillId="0" borderId="0" xfId="0" applyFont="1" applyAlignment="1">
      <alignment vertical="center" wrapText="1"/>
    </xf>
    <xf numFmtId="0" fontId="70" fillId="0" borderId="0" xfId="0" applyFont="1" applyAlignment="1">
      <alignment wrapText="1"/>
    </xf>
    <xf numFmtId="49" fontId="8" fillId="0" borderId="46" xfId="0" applyNumberFormat="1" applyFont="1" applyBorder="1" applyAlignment="1">
      <alignment horizontal="center"/>
    </xf>
    <xf numFmtId="49" fontId="18" fillId="0" borderId="46" xfId="0" applyNumberFormat="1" applyFont="1" applyBorder="1" applyAlignment="1">
      <alignment horizontal="center"/>
    </xf>
    <xf numFmtId="0" fontId="15" fillId="0" borderId="0" xfId="0" applyFont="1" applyBorder="1" applyAlignment="1">
      <alignment horizontal="left" vertical="top" wrapText="1"/>
    </xf>
    <xf numFmtId="0" fontId="72" fillId="0" borderId="0" xfId="13" applyFont="1" applyFill="1" applyAlignment="1" applyProtection="1">
      <alignment horizontal="left" vertical="center" wrapText="1"/>
    </xf>
    <xf numFmtId="0" fontId="0" fillId="0" borderId="38" xfId="0" applyBorder="1" applyAlignment="1">
      <alignment horizontal="center"/>
    </xf>
    <xf numFmtId="0" fontId="0" fillId="0" borderId="47" xfId="0" applyBorder="1" applyAlignment="1">
      <alignment horizontal="center"/>
    </xf>
    <xf numFmtId="0" fontId="0" fillId="0" borderId="24" xfId="0" applyBorder="1" applyAlignment="1">
      <alignment horizontal="center"/>
    </xf>
    <xf numFmtId="0" fontId="0" fillId="0" borderId="10" xfId="0" applyBorder="1" applyAlignment="1">
      <alignment horizontal="center"/>
    </xf>
    <xf numFmtId="0" fontId="12" fillId="0" borderId="0" xfId="0" applyFont="1" applyAlignment="1">
      <alignment horizontal="center"/>
    </xf>
    <xf numFmtId="0" fontId="0" fillId="0" borderId="24" xfId="0" applyBorder="1" applyAlignment="1">
      <alignment horizontal="center" vertical="center"/>
    </xf>
    <xf numFmtId="0" fontId="0" fillId="0" borderId="39" xfId="0" applyBorder="1" applyAlignment="1">
      <alignment horizontal="center" vertical="center"/>
    </xf>
    <xf numFmtId="0" fontId="4" fillId="15" borderId="48" xfId="0" applyFont="1" applyFill="1" applyBorder="1" applyAlignment="1">
      <alignment horizontal="center" vertical="center"/>
    </xf>
    <xf numFmtId="0" fontId="4" fillId="15" borderId="49" xfId="0" applyFont="1" applyFill="1" applyBorder="1" applyAlignment="1">
      <alignment horizontal="center" vertical="center"/>
    </xf>
    <xf numFmtId="0" fontId="4" fillId="15" borderId="50" xfId="0" applyFont="1" applyFill="1" applyBorder="1" applyAlignment="1">
      <alignment horizontal="center" vertical="center"/>
    </xf>
    <xf numFmtId="0" fontId="12" fillId="0" borderId="0" xfId="0" applyFont="1" applyAlignment="1">
      <alignment horizontal="center" vertical="top"/>
    </xf>
    <xf numFmtId="0" fontId="8" fillId="15" borderId="10" xfId="0" applyFont="1" applyFill="1" applyBorder="1" applyAlignment="1">
      <alignment horizontal="center" vertical="center" wrapText="1"/>
    </xf>
    <xf numFmtId="0" fontId="9" fillId="15" borderId="40" xfId="0" applyFont="1" applyFill="1" applyBorder="1" applyAlignment="1">
      <alignment horizontal="center" vertical="center" wrapText="1"/>
    </xf>
    <xf numFmtId="0" fontId="9" fillId="15" borderId="41" xfId="0" applyFont="1" applyFill="1" applyBorder="1" applyAlignment="1">
      <alignment horizontal="center" vertical="center" wrapText="1"/>
    </xf>
    <xf numFmtId="0" fontId="12" fillId="0" borderId="40" xfId="0" applyFont="1" applyBorder="1" applyAlignment="1">
      <alignment horizontal="center" vertical="center"/>
    </xf>
    <xf numFmtId="0" fontId="12" fillId="0" borderId="44" xfId="0" applyFont="1" applyBorder="1" applyAlignment="1">
      <alignment horizontal="center" vertical="center"/>
    </xf>
    <xf numFmtId="0" fontId="12" fillId="0" borderId="41" xfId="0" applyFont="1" applyBorder="1" applyAlignment="1">
      <alignment horizontal="center" vertical="center"/>
    </xf>
    <xf numFmtId="0" fontId="5" fillId="0" borderId="37" xfId="0" applyFont="1" applyBorder="1" applyAlignment="1">
      <alignment horizontal="center" vertical="center" wrapText="1"/>
    </xf>
    <xf numFmtId="0" fontId="5" fillId="0" borderId="0" xfId="0" applyFont="1" applyBorder="1" applyAlignment="1">
      <alignment horizontal="center" vertical="center" wrapText="1"/>
    </xf>
    <xf numFmtId="0" fontId="9" fillId="0" borderId="10" xfId="0" applyFont="1" applyFill="1" applyBorder="1" applyAlignment="1">
      <alignment horizontal="center" vertical="center"/>
    </xf>
    <xf numFmtId="0" fontId="14" fillId="0" borderId="45" xfId="0" applyFont="1" applyBorder="1" applyAlignment="1">
      <alignment horizontal="center" vertical="center" wrapText="1"/>
    </xf>
    <xf numFmtId="0" fontId="14" fillId="0" borderId="52" xfId="0" applyFont="1" applyBorder="1" applyAlignment="1">
      <alignment horizontal="center" vertical="center" wrapText="1"/>
    </xf>
    <xf numFmtId="0" fontId="14" fillId="0" borderId="25" xfId="0" applyFont="1" applyBorder="1" applyAlignment="1">
      <alignment horizontal="center" vertical="center" wrapText="1"/>
    </xf>
    <xf numFmtId="0" fontId="14" fillId="0" borderId="54" xfId="0" applyFont="1" applyBorder="1" applyAlignment="1">
      <alignment horizontal="center" vertical="center" wrapText="1"/>
    </xf>
    <xf numFmtId="0" fontId="13" fillId="0" borderId="40" xfId="0" applyFont="1" applyFill="1" applyBorder="1" applyAlignment="1">
      <alignment horizontal="left" vertical="center" wrapText="1"/>
    </xf>
    <xf numFmtId="0" fontId="13" fillId="0" borderId="41" xfId="0" applyFont="1" applyFill="1" applyBorder="1" applyAlignment="1">
      <alignment horizontal="left" vertical="center" wrapText="1"/>
    </xf>
    <xf numFmtId="0" fontId="13" fillId="0" borderId="40" xfId="0" applyFont="1" applyFill="1" applyBorder="1" applyAlignment="1">
      <alignment horizontal="left" vertical="top" wrapText="1"/>
    </xf>
    <xf numFmtId="0" fontId="13" fillId="0" borderId="41" xfId="0" applyFont="1" applyFill="1" applyBorder="1" applyAlignment="1">
      <alignment horizontal="left" vertical="top" wrapText="1"/>
    </xf>
    <xf numFmtId="0" fontId="15" fillId="0" borderId="0" xfId="0" applyFont="1" applyAlignment="1">
      <alignment horizontal="left" vertical="center"/>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8" fillId="0" borderId="0" xfId="0" applyFont="1" applyAlignment="1">
      <alignment horizontal="left" vertical="center"/>
    </xf>
    <xf numFmtId="0" fontId="13" fillId="0" borderId="51" xfId="0" applyFont="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14" fillId="0" borderId="37" xfId="0" applyFont="1" applyBorder="1" applyAlignment="1">
      <alignment horizontal="center" vertical="center" wrapText="1"/>
    </xf>
    <xf numFmtId="0" fontId="14" fillId="0" borderId="53" xfId="0" applyFont="1" applyBorder="1" applyAlignment="1">
      <alignment horizontal="center" vertical="center" wrapText="1"/>
    </xf>
    <xf numFmtId="0" fontId="13" fillId="0" borderId="40" xfId="29" applyFont="1" applyFill="1" applyBorder="1" applyAlignment="1">
      <alignment horizontal="left" vertical="top" wrapText="1"/>
    </xf>
    <xf numFmtId="0" fontId="13" fillId="0" borderId="41" xfId="29" applyFont="1" applyFill="1" applyBorder="1" applyAlignment="1">
      <alignment horizontal="left" vertical="top" wrapText="1"/>
    </xf>
    <xf numFmtId="0" fontId="13" fillId="23" borderId="10" xfId="0" applyFont="1" applyFill="1" applyBorder="1" applyAlignment="1">
      <alignment horizontal="left" vertical="center" wrapText="1"/>
    </xf>
    <xf numFmtId="0" fontId="13" fillId="23" borderId="10" xfId="0" applyFont="1" applyFill="1" applyBorder="1" applyAlignment="1">
      <alignment horizontal="left" vertical="center"/>
    </xf>
    <xf numFmtId="0" fontId="13" fillId="0" borderId="10" xfId="0" applyFont="1" applyFill="1" applyBorder="1" applyAlignment="1">
      <alignment horizontal="left" vertical="center" wrapText="1"/>
    </xf>
    <xf numFmtId="0" fontId="13" fillId="0" borderId="10" xfId="0" applyFont="1" applyFill="1" applyBorder="1" applyAlignment="1">
      <alignment horizontal="left" vertical="center"/>
    </xf>
    <xf numFmtId="0" fontId="13" fillId="23" borderId="40" xfId="0" applyFont="1" applyFill="1" applyBorder="1" applyAlignment="1">
      <alignment horizontal="left" vertical="center" wrapText="1"/>
    </xf>
    <xf numFmtId="0" fontId="13" fillId="23" borderId="41" xfId="0" applyFont="1" applyFill="1" applyBorder="1" applyAlignment="1">
      <alignment horizontal="left" vertical="center" wrapText="1"/>
    </xf>
    <xf numFmtId="0" fontId="16" fillId="16" borderId="0" xfId="0" applyFont="1" applyFill="1" applyAlignment="1">
      <alignment horizontal="center" vertical="center"/>
    </xf>
    <xf numFmtId="0" fontId="62" fillId="16" borderId="0" xfId="0" applyFont="1" applyFill="1" applyAlignment="1">
      <alignment horizontal="center" vertical="center"/>
    </xf>
    <xf numFmtId="0" fontId="13" fillId="0" borderId="0" xfId="0" applyFont="1" applyBorder="1" applyAlignment="1">
      <alignment horizontal="center" vertical="center"/>
    </xf>
    <xf numFmtId="0" fontId="8" fillId="0" borderId="0" xfId="0" applyFont="1" applyBorder="1" applyAlignment="1">
      <alignment horizontal="left" vertical="center"/>
    </xf>
    <xf numFmtId="0" fontId="68" fillId="0" borderId="0" xfId="0" applyFont="1" applyFill="1" applyBorder="1" applyAlignment="1">
      <alignment horizontal="left" vertical="center" wrapText="1"/>
    </xf>
    <xf numFmtId="0" fontId="0" fillId="0" borderId="40" xfId="0" applyBorder="1" applyAlignment="1">
      <alignment horizontal="left" vertical="center"/>
    </xf>
    <xf numFmtId="0" fontId="0" fillId="0" borderId="44" xfId="0" applyBorder="1" applyAlignment="1">
      <alignment horizontal="left" vertical="center"/>
    </xf>
    <xf numFmtId="0" fontId="0" fillId="0" borderId="41" xfId="0" applyBorder="1" applyAlignment="1">
      <alignment horizontal="left" vertical="center"/>
    </xf>
    <xf numFmtId="0" fontId="13" fillId="16" borderId="0" xfId="0" applyFont="1" applyFill="1" applyAlignment="1">
      <alignment horizontal="left" vertical="center" wrapText="1"/>
    </xf>
    <xf numFmtId="0" fontId="14" fillId="15" borderId="10" xfId="0" applyFont="1" applyFill="1" applyBorder="1" applyAlignment="1">
      <alignment horizontal="center" vertical="center" wrapText="1"/>
    </xf>
    <xf numFmtId="0" fontId="0" fillId="0" borderId="10" xfId="0" applyBorder="1" applyAlignment="1">
      <alignment horizontal="left" vertical="center"/>
    </xf>
    <xf numFmtId="0" fontId="14" fillId="0" borderId="45" xfId="0" applyFont="1" applyBorder="1" applyAlignment="1">
      <alignment horizontal="center" vertical="center"/>
    </xf>
    <xf numFmtId="0" fontId="14" fillId="0" borderId="52" xfId="0" applyFont="1" applyBorder="1" applyAlignment="1">
      <alignment horizontal="center" vertical="center"/>
    </xf>
    <xf numFmtId="0" fontId="14" fillId="0" borderId="25" xfId="0" applyFont="1" applyBorder="1" applyAlignment="1">
      <alignment horizontal="center" vertical="center"/>
    </xf>
    <xf numFmtId="0" fontId="14" fillId="0" borderId="54" xfId="0" applyFont="1" applyBorder="1" applyAlignment="1">
      <alignment horizontal="center" vertical="center"/>
    </xf>
    <xf numFmtId="0" fontId="15" fillId="0" borderId="0" xfId="0" applyFont="1" applyAlignment="1">
      <alignment horizontal="left" wrapText="1"/>
    </xf>
    <xf numFmtId="0" fontId="14" fillId="15" borderId="10" xfId="0" applyFont="1" applyFill="1" applyBorder="1" applyAlignment="1">
      <alignment horizontal="center" vertical="center"/>
    </xf>
    <xf numFmtId="0" fontId="14" fillId="0" borderId="40" xfId="0" applyFont="1" applyBorder="1" applyAlignment="1">
      <alignment horizontal="center" vertical="center"/>
    </xf>
    <xf numFmtId="0" fontId="14" fillId="0" borderId="41" xfId="0" applyFont="1" applyBorder="1" applyAlignment="1">
      <alignment horizontal="center" vertical="center"/>
    </xf>
    <xf numFmtId="0" fontId="14" fillId="0" borderId="37" xfId="0" applyFont="1" applyBorder="1" applyAlignment="1">
      <alignment horizontal="center" vertical="center"/>
    </xf>
    <xf numFmtId="0" fontId="14" fillId="0" borderId="53" xfId="0" applyFont="1" applyBorder="1" applyAlignment="1">
      <alignment horizontal="center" vertical="center"/>
    </xf>
    <xf numFmtId="0" fontId="8" fillId="16" borderId="0" xfId="0" applyFont="1" applyFill="1" applyAlignment="1">
      <alignment horizontal="left" vertical="center" wrapText="1"/>
    </xf>
    <xf numFmtId="0" fontId="8" fillId="16" borderId="0" xfId="0" applyFont="1" applyFill="1" applyAlignment="1">
      <alignment horizontal="left" vertical="center"/>
    </xf>
    <xf numFmtId="0" fontId="15" fillId="16" borderId="0" xfId="0" applyFont="1" applyFill="1" applyAlignment="1">
      <alignment horizontal="left" vertical="center"/>
    </xf>
    <xf numFmtId="0" fontId="13" fillId="16" borderId="51" xfId="0" applyFont="1" applyFill="1" applyBorder="1" applyAlignment="1">
      <alignment horizontal="center" vertical="center"/>
    </xf>
    <xf numFmtId="0" fontId="14" fillId="16" borderId="40" xfId="0" applyFont="1" applyFill="1" applyBorder="1" applyAlignment="1">
      <alignment horizontal="center" vertical="center"/>
    </xf>
    <xf numFmtId="0" fontId="14" fillId="16" borderId="41" xfId="0" applyFont="1" applyFill="1" applyBorder="1" applyAlignment="1">
      <alignment horizontal="center" vertical="center"/>
    </xf>
    <xf numFmtId="0" fontId="13" fillId="16" borderId="10" xfId="0" applyFont="1" applyFill="1" applyBorder="1" applyAlignment="1">
      <alignment horizontal="left" vertical="center" wrapText="1"/>
    </xf>
    <xf numFmtId="0" fontId="13" fillId="16" borderId="10" xfId="0" applyFont="1" applyFill="1" applyBorder="1" applyAlignment="1">
      <alignment horizontal="left" vertical="center"/>
    </xf>
    <xf numFmtId="0" fontId="0" fillId="16" borderId="0" xfId="0" applyFill="1" applyAlignment="1">
      <alignment horizontal="left" vertical="center"/>
    </xf>
    <xf numFmtId="0" fontId="13" fillId="16" borderId="40" xfId="0" applyFont="1" applyFill="1" applyBorder="1" applyAlignment="1">
      <alignment horizontal="left" vertical="center" wrapText="1"/>
    </xf>
    <xf numFmtId="0" fontId="13" fillId="16" borderId="41" xfId="0" applyFont="1" applyFill="1" applyBorder="1" applyAlignment="1">
      <alignment horizontal="left" vertical="center" wrapText="1"/>
    </xf>
    <xf numFmtId="0" fontId="13" fillId="0" borderId="10" xfId="0" applyFont="1" applyFill="1" applyBorder="1" applyAlignment="1">
      <alignment horizontal="left" vertical="top" wrapText="1"/>
    </xf>
    <xf numFmtId="0" fontId="13" fillId="0" borderId="10" xfId="0" applyFont="1" applyFill="1" applyBorder="1" applyAlignment="1">
      <alignment horizontal="left" vertical="top"/>
    </xf>
    <xf numFmtId="0" fontId="14" fillId="16" borderId="51" xfId="0" applyFont="1" applyFill="1" applyBorder="1" applyAlignment="1">
      <alignment horizontal="center" vertical="center" wrapText="1"/>
    </xf>
    <xf numFmtId="0" fontId="14" fillId="16" borderId="52" xfId="0" applyFont="1" applyFill="1" applyBorder="1" applyAlignment="1">
      <alignment horizontal="center" vertical="center" wrapText="1"/>
    </xf>
    <xf numFmtId="0" fontId="14" fillId="16" borderId="0" xfId="0" applyFont="1" applyFill="1" applyBorder="1" applyAlignment="1">
      <alignment horizontal="center" vertical="center" wrapText="1"/>
    </xf>
    <xf numFmtId="0" fontId="14" fillId="16" borderId="53" xfId="0" applyFont="1" applyFill="1" applyBorder="1" applyAlignment="1">
      <alignment horizontal="center" vertical="center" wrapText="1"/>
    </xf>
    <xf numFmtId="0" fontId="14" fillId="16" borderId="46" xfId="0" applyFont="1" applyFill="1" applyBorder="1" applyAlignment="1">
      <alignment horizontal="center" vertical="center" wrapText="1"/>
    </xf>
    <xf numFmtId="0" fontId="14" fillId="16" borderId="54" xfId="0" applyFont="1" applyFill="1" applyBorder="1" applyAlignment="1">
      <alignment horizontal="center" vertical="center" wrapText="1"/>
    </xf>
    <xf numFmtId="0" fontId="14" fillId="16" borderId="25" xfId="0" applyFont="1" applyFill="1" applyBorder="1" applyAlignment="1">
      <alignment horizontal="center" vertical="center"/>
    </xf>
    <xf numFmtId="0" fontId="14" fillId="16" borderId="54" xfId="0" applyFont="1" applyFill="1" applyBorder="1" applyAlignment="1">
      <alignment horizontal="center" vertical="center"/>
    </xf>
    <xf numFmtId="0" fontId="14" fillId="41" borderId="10" xfId="0" applyFont="1" applyFill="1" applyBorder="1" applyAlignment="1">
      <alignment horizontal="center" vertical="center" wrapText="1"/>
    </xf>
    <xf numFmtId="0" fontId="14" fillId="41" borderId="10" xfId="0" applyFont="1" applyFill="1" applyBorder="1" applyAlignment="1">
      <alignment horizontal="center" vertical="center"/>
    </xf>
    <xf numFmtId="0" fontId="8" fillId="16" borderId="0" xfId="0" applyFont="1" applyFill="1" applyBorder="1" applyAlignment="1">
      <alignment horizontal="left" vertical="center"/>
    </xf>
    <xf numFmtId="0" fontId="13" fillId="16" borderId="0" xfId="0" applyFont="1" applyFill="1" applyBorder="1" applyAlignment="1">
      <alignment horizontal="center" vertical="center"/>
    </xf>
    <xf numFmtId="0" fontId="58" fillId="16" borderId="0" xfId="0" applyFont="1" applyFill="1" applyAlignment="1">
      <alignment horizontal="left" wrapText="1"/>
    </xf>
    <xf numFmtId="0" fontId="0" fillId="16" borderId="0" xfId="0" applyFill="1" applyAlignment="1">
      <alignment horizontal="center"/>
    </xf>
    <xf numFmtId="0" fontId="0" fillId="16" borderId="10" xfId="0" applyFill="1" applyBorder="1" applyAlignment="1">
      <alignment wrapText="1"/>
    </xf>
    <xf numFmtId="0" fontId="12" fillId="0" borderId="0" xfId="0" applyFont="1" applyFill="1" applyBorder="1" applyAlignment="1">
      <alignment horizontal="center" vertical="center"/>
    </xf>
    <xf numFmtId="0" fontId="8" fillId="0" borderId="0" xfId="0" applyFont="1" applyFill="1" applyAlignment="1">
      <alignment horizontal="center" vertical="top"/>
    </xf>
    <xf numFmtId="0" fontId="21" fillId="0" borderId="31" xfId="0" applyFont="1" applyBorder="1" applyAlignment="1">
      <alignment horizontal="left" vertical="top" wrapText="1"/>
    </xf>
    <xf numFmtId="0" fontId="21" fillId="0" borderId="56" xfId="0" applyFont="1" applyBorder="1" applyAlignment="1">
      <alignment horizontal="left" vertical="top" wrapText="1"/>
    </xf>
    <xf numFmtId="0" fontId="21" fillId="0" borderId="57" xfId="0" applyFont="1" applyBorder="1" applyAlignment="1">
      <alignment horizontal="left" vertical="top" wrapText="1"/>
    </xf>
    <xf numFmtId="0" fontId="0" fillId="0" borderId="58" xfId="0" applyBorder="1" applyAlignment="1">
      <alignment horizontal="left" vertical="top" wrapText="1"/>
    </xf>
    <xf numFmtId="0" fontId="0" fillId="0" borderId="59" xfId="0" applyBorder="1" applyAlignment="1">
      <alignment horizontal="left" vertical="top" wrapText="1"/>
    </xf>
    <xf numFmtId="0" fontId="48" fillId="0" borderId="0" xfId="0" applyFont="1" applyFill="1" applyBorder="1" applyAlignment="1">
      <alignment horizontal="left" vertical="top" wrapText="1"/>
    </xf>
    <xf numFmtId="0" fontId="13" fillId="0" borderId="55" xfId="0" applyFont="1" applyFill="1" applyBorder="1" applyAlignment="1">
      <alignment horizontal="left" vertical="center" wrapText="1"/>
    </xf>
    <xf numFmtId="0" fontId="0" fillId="0" borderId="60" xfId="0" applyNumberFormat="1" applyFill="1" applyBorder="1" applyAlignment="1">
      <alignment horizontal="left" vertical="top"/>
    </xf>
    <xf numFmtId="0" fontId="0" fillId="0" borderId="61" xfId="0" applyNumberFormat="1" applyFill="1" applyBorder="1" applyAlignment="1">
      <alignment horizontal="left" vertical="top"/>
    </xf>
    <xf numFmtId="0" fontId="0" fillId="0" borderId="62" xfId="0" applyNumberFormat="1" applyFill="1" applyBorder="1" applyAlignment="1">
      <alignment horizontal="left" vertical="top"/>
    </xf>
    <xf numFmtId="0" fontId="0" fillId="0" borderId="63" xfId="0" applyNumberFormat="1" applyFill="1" applyBorder="1" applyAlignment="1">
      <alignment horizontal="left" vertical="top"/>
    </xf>
    <xf numFmtId="0" fontId="0" fillId="0" borderId="64" xfId="0" applyNumberFormat="1" applyFill="1" applyBorder="1" applyAlignment="1">
      <alignment horizontal="left" vertical="top"/>
    </xf>
    <xf numFmtId="0" fontId="0" fillId="0" borderId="65" xfId="0" applyNumberFormat="1" applyFill="1" applyBorder="1" applyAlignment="1">
      <alignment horizontal="left" vertical="top"/>
    </xf>
    <xf numFmtId="0" fontId="0" fillId="0" borderId="63" xfId="0" applyFill="1" applyBorder="1" applyAlignment="1">
      <alignment horizontal="left" vertical="top" wrapText="1"/>
    </xf>
    <xf numFmtId="0" fontId="0" fillId="0" borderId="64" xfId="0" applyFill="1" applyBorder="1" applyAlignment="1">
      <alignment horizontal="left" vertical="top" wrapText="1"/>
    </xf>
    <xf numFmtId="0" fontId="0" fillId="0" borderId="65" xfId="0" applyFill="1" applyBorder="1" applyAlignment="1">
      <alignment horizontal="left" vertical="top" wrapText="1"/>
    </xf>
    <xf numFmtId="0" fontId="0" fillId="0" borderId="66" xfId="0" applyFill="1" applyBorder="1" applyAlignment="1">
      <alignment horizontal="left" vertical="top" wrapText="1"/>
    </xf>
    <xf numFmtId="0" fontId="0" fillId="0" borderId="67" xfId="0" applyFill="1" applyBorder="1" applyAlignment="1">
      <alignment horizontal="left" vertical="top" wrapText="1"/>
    </xf>
    <xf numFmtId="0" fontId="0" fillId="0" borderId="68" xfId="0" applyFill="1" applyBorder="1" applyAlignment="1">
      <alignment horizontal="left" vertical="top" wrapText="1"/>
    </xf>
    <xf numFmtId="0" fontId="12" fillId="0" borderId="0" xfId="0" applyFont="1" applyAlignment="1">
      <alignment horizontal="center" vertical="center"/>
    </xf>
    <xf numFmtId="0" fontId="13" fillId="0" borderId="0" xfId="0" applyFont="1" applyAlignment="1">
      <alignment vertical="top" wrapText="1"/>
    </xf>
    <xf numFmtId="0" fontId="12" fillId="0" borderId="0" xfId="0" applyFont="1" applyAlignment="1">
      <alignment horizontal="center" vertical="center" wrapText="1"/>
    </xf>
    <xf numFmtId="0" fontId="13" fillId="0" borderId="93" xfId="0" applyFont="1" applyBorder="1" applyAlignment="1">
      <alignment vertical="center" wrapText="1"/>
    </xf>
    <xf numFmtId="0" fontId="13" fillId="0" borderId="96" xfId="0" applyFont="1" applyBorder="1" applyAlignment="1">
      <alignment vertical="center" wrapText="1"/>
    </xf>
    <xf numFmtId="0" fontId="13" fillId="0" borderId="105" xfId="0" applyFont="1" applyBorder="1" applyAlignment="1">
      <alignment vertical="center" wrapText="1"/>
    </xf>
    <xf numFmtId="0" fontId="19" fillId="0" borderId="94" xfId="0" applyFont="1" applyBorder="1" applyAlignment="1">
      <alignment vertical="top" wrapText="1"/>
    </xf>
    <xf numFmtId="0" fontId="19" fillId="0" borderId="97" xfId="0" applyFont="1" applyBorder="1" applyAlignment="1">
      <alignment vertical="top" wrapText="1"/>
    </xf>
    <xf numFmtId="0" fontId="19" fillId="0" borderId="106" xfId="0" applyFont="1" applyBorder="1" applyAlignment="1">
      <alignment vertical="top" wrapText="1"/>
    </xf>
    <xf numFmtId="0" fontId="13" fillId="0" borderId="94" xfId="0" applyFont="1" applyBorder="1" applyAlignment="1">
      <alignment vertical="top" wrapText="1"/>
    </xf>
    <xf numFmtId="0" fontId="13" fillId="0" borderId="95" xfId="0" applyFont="1" applyBorder="1" applyAlignment="1">
      <alignment vertical="top" wrapText="1"/>
    </xf>
    <xf numFmtId="0" fontId="13" fillId="0" borderId="98" xfId="0" applyFont="1" applyBorder="1" applyAlignment="1">
      <alignment vertical="top" wrapText="1"/>
    </xf>
    <xf numFmtId="0" fontId="13" fillId="0" borderId="99" xfId="0" applyFont="1" applyBorder="1" applyAlignment="1">
      <alignment vertical="top" wrapText="1"/>
    </xf>
    <xf numFmtId="0" fontId="14" fillId="41" borderId="100" xfId="0" applyFont="1" applyFill="1" applyBorder="1" applyAlignment="1">
      <alignment horizontal="center" vertical="center" wrapText="1"/>
    </xf>
    <xf numFmtId="0" fontId="14" fillId="41" borderId="101" xfId="0" applyFont="1" applyFill="1" applyBorder="1" applyAlignment="1">
      <alignment horizontal="center" vertical="center" wrapText="1"/>
    </xf>
    <xf numFmtId="0" fontId="14" fillId="41" borderId="102" xfId="0" applyFont="1" applyFill="1" applyBorder="1" applyAlignment="1">
      <alignment horizontal="center" vertical="center" wrapText="1"/>
    </xf>
    <xf numFmtId="0" fontId="14" fillId="41" borderId="103" xfId="0" applyFont="1" applyFill="1" applyBorder="1" applyAlignment="1">
      <alignment horizontal="center" vertical="center" wrapText="1"/>
    </xf>
    <xf numFmtId="0" fontId="13" fillId="0" borderId="97" xfId="0" applyFont="1" applyBorder="1" applyAlignment="1">
      <alignment horizontal="center" vertical="center" wrapText="1"/>
    </xf>
    <xf numFmtId="0" fontId="13" fillId="0" borderId="106" xfId="0" applyFont="1" applyBorder="1" applyAlignment="1">
      <alignment horizontal="center" vertical="center" wrapText="1"/>
    </xf>
    <xf numFmtId="0" fontId="13" fillId="0" borderId="97" xfId="0" applyFont="1" applyBorder="1" applyAlignment="1">
      <alignment vertical="top" wrapText="1"/>
    </xf>
    <xf numFmtId="0" fontId="13" fillId="0" borderId="104" xfId="0" applyFont="1" applyBorder="1" applyAlignment="1">
      <alignment vertical="top" wrapText="1"/>
    </xf>
    <xf numFmtId="0" fontId="13" fillId="0" borderId="106" xfId="0" applyFont="1" applyBorder="1" applyAlignment="1">
      <alignment vertical="top" wrapText="1"/>
    </xf>
    <xf numFmtId="0" fontId="13" fillId="0" borderId="107" xfId="0" applyFont="1" applyBorder="1" applyAlignment="1">
      <alignment vertical="top" wrapText="1"/>
    </xf>
    <xf numFmtId="0" fontId="81" fillId="40" borderId="83" xfId="0" applyFont="1" applyFill="1" applyBorder="1" applyAlignment="1">
      <alignment horizontal="left" vertical="top" wrapText="1"/>
    </xf>
    <xf numFmtId="0" fontId="81" fillId="40" borderId="23" xfId="0" applyFont="1" applyFill="1" applyBorder="1" applyAlignment="1">
      <alignment horizontal="left" vertical="top" wrapText="1"/>
    </xf>
    <xf numFmtId="0" fontId="81" fillId="40" borderId="84" xfId="0" applyFont="1" applyFill="1" applyBorder="1" applyAlignment="1">
      <alignment horizontal="left" vertical="top" wrapText="1"/>
    </xf>
    <xf numFmtId="0" fontId="81" fillId="40" borderId="85" xfId="0" applyFont="1" applyFill="1" applyBorder="1" applyAlignment="1">
      <alignment horizontal="left" vertical="top" wrapText="1"/>
    </xf>
    <xf numFmtId="0" fontId="81" fillId="40" borderId="0" xfId="0" applyFont="1" applyFill="1" applyBorder="1" applyAlignment="1">
      <alignment horizontal="left" vertical="top" wrapText="1"/>
    </xf>
    <xf numFmtId="0" fontId="81" fillId="40" borderId="86" xfId="0" applyFont="1" applyFill="1" applyBorder="1" applyAlignment="1">
      <alignment horizontal="left" vertical="top" wrapText="1"/>
    </xf>
    <xf numFmtId="0" fontId="81" fillId="40" borderId="87" xfId="0" applyFont="1" applyFill="1" applyBorder="1" applyAlignment="1">
      <alignment horizontal="left" vertical="top" wrapText="1"/>
    </xf>
    <xf numFmtId="0" fontId="81" fillId="40" borderId="88" xfId="0" applyFont="1" applyFill="1" applyBorder="1" applyAlignment="1">
      <alignment horizontal="left" vertical="top" wrapText="1"/>
    </xf>
    <xf numFmtId="0" fontId="81" fillId="40" borderId="89" xfId="0" applyFont="1" applyFill="1" applyBorder="1" applyAlignment="1">
      <alignment horizontal="left" vertical="top" wrapText="1"/>
    </xf>
    <xf numFmtId="0" fontId="59" fillId="0" borderId="37" xfId="0" applyFont="1" applyBorder="1" applyAlignment="1">
      <alignment horizontal="left" wrapText="1"/>
    </xf>
    <xf numFmtId="0" fontId="59" fillId="0" borderId="0" xfId="0" applyFont="1" applyBorder="1" applyAlignment="1">
      <alignment horizontal="left" wrapText="1"/>
    </xf>
    <xf numFmtId="0" fontId="59" fillId="0" borderId="53" xfId="0" applyFont="1" applyBorder="1" applyAlignment="1">
      <alignment horizontal="left" wrapText="1"/>
    </xf>
    <xf numFmtId="0" fontId="59" fillId="0" borderId="37" xfId="0" applyFont="1" applyBorder="1" applyAlignment="1">
      <alignment horizontal="left" vertical="top" wrapText="1"/>
    </xf>
    <xf numFmtId="0" fontId="59" fillId="0" borderId="0" xfId="0" applyFont="1" applyBorder="1" applyAlignment="1">
      <alignment horizontal="left" vertical="top" wrapText="1"/>
    </xf>
    <xf numFmtId="0" fontId="59" fillId="0" borderId="53" xfId="0" applyFont="1" applyBorder="1" applyAlignment="1">
      <alignment horizontal="left" vertical="top" wrapText="1"/>
    </xf>
    <xf numFmtId="0" fontId="59" fillId="0" borderId="25" xfId="0" applyFont="1" applyBorder="1" applyAlignment="1">
      <alignment horizontal="left" vertical="top" wrapText="1"/>
    </xf>
    <xf numFmtId="0" fontId="59" fillId="0" borderId="46" xfId="0" applyFont="1" applyBorder="1" applyAlignment="1">
      <alignment horizontal="left" vertical="top" wrapText="1"/>
    </xf>
    <xf numFmtId="0" fontId="59" fillId="0" borderId="54" xfId="0" applyFont="1" applyBorder="1" applyAlignment="1">
      <alignment horizontal="left" vertical="top" wrapText="1"/>
    </xf>
    <xf numFmtId="0" fontId="77" fillId="0" borderId="40" xfId="0" applyFont="1" applyBorder="1" applyAlignment="1">
      <alignment horizontal="center"/>
    </xf>
    <xf numFmtId="0" fontId="77" fillId="0" borderId="44" xfId="0" applyFont="1" applyBorder="1" applyAlignment="1">
      <alignment horizontal="center"/>
    </xf>
    <xf numFmtId="0" fontId="77" fillId="0" borderId="41" xfId="0" applyFont="1" applyBorder="1" applyAlignment="1">
      <alignment horizontal="center"/>
    </xf>
    <xf numFmtId="0" fontId="77" fillId="0" borderId="10" xfId="0" applyFont="1" applyBorder="1" applyAlignment="1">
      <alignment horizontal="center"/>
    </xf>
    <xf numFmtId="0" fontId="4" fillId="0" borderId="40" xfId="0" applyFont="1" applyBorder="1" applyAlignment="1">
      <alignment horizontal="center"/>
    </xf>
    <xf numFmtId="0" fontId="4" fillId="0" borderId="44" xfId="0" applyFont="1" applyBorder="1" applyAlignment="1">
      <alignment horizontal="center"/>
    </xf>
    <xf numFmtId="0" fontId="4" fillId="0" borderId="41" xfId="0" applyFont="1" applyBorder="1" applyAlignment="1">
      <alignment horizontal="center"/>
    </xf>
    <xf numFmtId="0" fontId="77" fillId="0" borderId="10" xfId="0" applyFont="1" applyBorder="1" applyAlignment="1">
      <alignment horizontal="center" vertical="center"/>
    </xf>
    <xf numFmtId="0" fontId="77" fillId="0" borderId="10" xfId="0" applyFont="1" applyFill="1" applyBorder="1" applyAlignment="1">
      <alignment horizontal="center"/>
    </xf>
    <xf numFmtId="0" fontId="77" fillId="0" borderId="40" xfId="0" applyFont="1" applyBorder="1" applyAlignment="1">
      <alignment horizontal="center" vertical="center" wrapText="1"/>
    </xf>
    <xf numFmtId="0" fontId="77" fillId="0" borderId="44" xfId="0" applyFont="1" applyBorder="1" applyAlignment="1">
      <alignment horizontal="center" vertical="center" wrapText="1"/>
    </xf>
    <xf numFmtId="0" fontId="77" fillId="0" borderId="41" xfId="0" applyFont="1" applyBorder="1" applyAlignment="1">
      <alignment horizontal="center" vertical="center" wrapText="1"/>
    </xf>
    <xf numFmtId="0" fontId="77" fillId="0" borderId="10" xfId="0" applyFont="1" applyBorder="1" applyAlignment="1">
      <alignment horizontal="center" vertical="center" wrapText="1"/>
    </xf>
    <xf numFmtId="0" fontId="77" fillId="0" borderId="40" xfId="0" applyFont="1" applyBorder="1" applyAlignment="1">
      <alignment horizontal="center" vertical="top" wrapText="1"/>
    </xf>
    <xf numFmtId="0" fontId="77" fillId="0" borderId="44" xfId="0" applyFont="1" applyBorder="1" applyAlignment="1">
      <alignment horizontal="center" vertical="top" wrapText="1"/>
    </xf>
    <xf numFmtId="0" fontId="77" fillId="0" borderId="41" xfId="0" applyFont="1" applyBorder="1" applyAlignment="1">
      <alignment horizontal="center" vertical="top" wrapText="1"/>
    </xf>
    <xf numFmtId="0" fontId="46" fillId="0" borderId="80" xfId="0" applyFont="1" applyBorder="1" applyAlignment="1">
      <alignment horizontal="left" vertical="center" wrapText="1"/>
    </xf>
    <xf numFmtId="0" fontId="46" fillId="0" borderId="81" xfId="0" applyFont="1" applyBorder="1" applyAlignment="1">
      <alignment horizontal="left" vertical="center" wrapText="1"/>
    </xf>
    <xf numFmtId="0" fontId="46" fillId="0" borderId="82" xfId="0" applyFont="1" applyBorder="1" applyAlignment="1">
      <alignment horizontal="left" vertical="center" wrapText="1"/>
    </xf>
    <xf numFmtId="0" fontId="12" fillId="24" borderId="40" xfId="0" applyFont="1" applyFill="1" applyBorder="1" applyAlignment="1">
      <alignment horizontal="center"/>
    </xf>
    <xf numFmtId="0" fontId="12" fillId="24" borderId="44" xfId="0" applyFont="1" applyFill="1" applyBorder="1" applyAlignment="1">
      <alignment horizontal="center"/>
    </xf>
    <xf numFmtId="0" fontId="12" fillId="24" borderId="41" xfId="0" applyFont="1" applyFill="1" applyBorder="1" applyAlignment="1">
      <alignment horizontal="center"/>
    </xf>
    <xf numFmtId="0" fontId="12" fillId="24" borderId="10" xfId="0" applyFont="1" applyFill="1" applyBorder="1" applyAlignment="1">
      <alignment horizontal="center" wrapText="1"/>
    </xf>
    <xf numFmtId="0" fontId="12" fillId="24" borderId="10" xfId="0" applyFont="1" applyFill="1" applyBorder="1" applyAlignment="1">
      <alignment horizontal="center"/>
    </xf>
    <xf numFmtId="0" fontId="12" fillId="24" borderId="40" xfId="0" applyFont="1" applyFill="1" applyBorder="1" applyAlignment="1">
      <alignment horizontal="center" wrapText="1"/>
    </xf>
    <xf numFmtId="0" fontId="12" fillId="24" borderId="44" xfId="0" applyFont="1" applyFill="1" applyBorder="1" applyAlignment="1">
      <alignment horizontal="center" wrapText="1"/>
    </xf>
    <xf numFmtId="0" fontId="12" fillId="24" borderId="41" xfId="0" applyFont="1" applyFill="1" applyBorder="1" applyAlignment="1">
      <alignment horizontal="center" wrapText="1"/>
    </xf>
    <xf numFmtId="0" fontId="75" fillId="0" borderId="47" xfId="0" applyFont="1" applyFill="1" applyBorder="1" applyAlignment="1">
      <alignment horizontal="center" vertical="center" wrapText="1"/>
    </xf>
    <xf numFmtId="0" fontId="75" fillId="0" borderId="49" xfId="0" applyFont="1" applyFill="1" applyBorder="1" applyAlignment="1">
      <alignment horizontal="center" vertical="center" wrapText="1"/>
    </xf>
    <xf numFmtId="0" fontId="75" fillId="0" borderId="92" xfId="0" applyFont="1" applyFill="1" applyBorder="1" applyAlignment="1">
      <alignment horizontal="center" vertical="center" wrapText="1"/>
    </xf>
    <xf numFmtId="0" fontId="74" fillId="0" borderId="83" xfId="0" applyFont="1" applyFill="1" applyBorder="1" applyAlignment="1">
      <alignment horizontal="center" vertical="center" wrapText="1"/>
    </xf>
    <xf numFmtId="0" fontId="74" fillId="0" borderId="23" xfId="0" applyFont="1" applyFill="1" applyBorder="1" applyAlignment="1">
      <alignment horizontal="center" vertical="center" wrapText="1"/>
    </xf>
    <xf numFmtId="0" fontId="74" fillId="0" borderId="90" xfId="0" applyFont="1" applyFill="1" applyBorder="1" applyAlignment="1">
      <alignment horizontal="center" vertical="center" wrapText="1"/>
    </xf>
    <xf numFmtId="0" fontId="74" fillId="0" borderId="85" xfId="0" applyFont="1" applyFill="1" applyBorder="1" applyAlignment="1">
      <alignment horizontal="center" vertical="center" wrapText="1"/>
    </xf>
    <xf numFmtId="0" fontId="74" fillId="0" borderId="0" xfId="0" applyFont="1" applyFill="1" applyBorder="1" applyAlignment="1">
      <alignment horizontal="center" vertical="center" wrapText="1"/>
    </xf>
    <xf numFmtId="0" fontId="74" fillId="0" borderId="53" xfId="0" applyFont="1" applyFill="1" applyBorder="1" applyAlignment="1">
      <alignment horizontal="center" vertical="center" wrapText="1"/>
    </xf>
    <xf numFmtId="0" fontId="74" fillId="0" borderId="87" xfId="0" applyFont="1" applyFill="1" applyBorder="1" applyAlignment="1">
      <alignment horizontal="center" vertical="center" wrapText="1"/>
    </xf>
    <xf numFmtId="0" fontId="74" fillId="0" borderId="88" xfId="0" applyFont="1" applyFill="1" applyBorder="1" applyAlignment="1">
      <alignment horizontal="center" vertical="center" wrapText="1"/>
    </xf>
    <xf numFmtId="0" fontId="74" fillId="0" borderId="91" xfId="0" applyFont="1" applyFill="1" applyBorder="1" applyAlignment="1">
      <alignment horizontal="center" vertical="center" wrapText="1"/>
    </xf>
    <xf numFmtId="0" fontId="79" fillId="0" borderId="18" xfId="0" applyFont="1" applyFill="1" applyBorder="1" applyAlignment="1">
      <alignment horizontal="center" vertical="center" wrapText="1"/>
    </xf>
    <xf numFmtId="0" fontId="79" fillId="0" borderId="19" xfId="0" applyFont="1" applyFill="1" applyBorder="1" applyAlignment="1">
      <alignment horizontal="center" vertical="center" wrapText="1"/>
    </xf>
    <xf numFmtId="0" fontId="75" fillId="0" borderId="10" xfId="0" applyFont="1" applyFill="1" applyBorder="1" applyAlignment="1">
      <alignment horizontal="center" vertical="center" wrapText="1"/>
    </xf>
    <xf numFmtId="0" fontId="75" fillId="0" borderId="20" xfId="0" applyFont="1" applyFill="1" applyBorder="1" applyAlignment="1">
      <alignment horizontal="center" vertical="center" wrapText="1"/>
    </xf>
    <xf numFmtId="0" fontId="75" fillId="0" borderId="21" xfId="0" applyFont="1" applyFill="1" applyBorder="1" applyAlignment="1">
      <alignment horizontal="center" vertical="center" wrapText="1"/>
    </xf>
    <xf numFmtId="0" fontId="75" fillId="0" borderId="22" xfId="0" applyFont="1" applyFill="1" applyBorder="1" applyAlignment="1">
      <alignment horizontal="center" vertical="center" wrapText="1"/>
    </xf>
    <xf numFmtId="0" fontId="16" fillId="39" borderId="83" xfId="0" applyFont="1" applyFill="1" applyBorder="1" applyAlignment="1">
      <alignment horizontal="center" vertical="center"/>
    </xf>
    <xf numFmtId="0" fontId="16" fillId="39" borderId="23" xfId="0" applyFont="1" applyFill="1" applyBorder="1" applyAlignment="1">
      <alignment horizontal="center" vertical="center"/>
    </xf>
    <xf numFmtId="0" fontId="16" fillId="39" borderId="84" xfId="0" applyFont="1" applyFill="1" applyBorder="1" applyAlignment="1">
      <alignment horizontal="center" vertical="center"/>
    </xf>
    <xf numFmtId="0" fontId="16" fillId="39" borderId="87" xfId="0" applyFont="1" applyFill="1" applyBorder="1" applyAlignment="1">
      <alignment horizontal="center" vertical="center"/>
    </xf>
    <xf numFmtId="0" fontId="16" fillId="39" borderId="88" xfId="0" applyFont="1" applyFill="1" applyBorder="1" applyAlignment="1">
      <alignment horizontal="center" vertical="center"/>
    </xf>
    <xf numFmtId="0" fontId="16" fillId="39" borderId="89" xfId="0" applyFont="1" applyFill="1" applyBorder="1" applyAlignment="1">
      <alignment horizontal="center" vertical="center"/>
    </xf>
    <xf numFmtId="0" fontId="87" fillId="0" borderId="83" xfId="0" applyFont="1" applyBorder="1" applyAlignment="1">
      <alignment horizontal="left" vertical="top" wrapText="1"/>
    </xf>
    <xf numFmtId="0" fontId="87" fillId="0" borderId="23" xfId="0" applyFont="1" applyBorder="1" applyAlignment="1">
      <alignment horizontal="left" vertical="top" wrapText="1"/>
    </xf>
    <xf numFmtId="0" fontId="87" fillId="0" borderId="84" xfId="0" applyFont="1" applyBorder="1" applyAlignment="1">
      <alignment horizontal="left" vertical="top" wrapText="1"/>
    </xf>
    <xf numFmtId="0" fontId="87" fillId="0" borderId="85" xfId="0" applyFont="1" applyBorder="1" applyAlignment="1">
      <alignment horizontal="left" vertical="top" wrapText="1"/>
    </xf>
    <xf numFmtId="0" fontId="87" fillId="0" borderId="0" xfId="0" applyFont="1" applyBorder="1" applyAlignment="1">
      <alignment horizontal="left" vertical="top" wrapText="1"/>
    </xf>
    <xf numFmtId="0" fontId="87" fillId="0" borderId="86" xfId="0" applyFont="1" applyBorder="1" applyAlignment="1">
      <alignment horizontal="left" vertical="top" wrapText="1"/>
    </xf>
    <xf numFmtId="0" fontId="87" fillId="0" borderId="87" xfId="0" applyFont="1" applyBorder="1" applyAlignment="1">
      <alignment horizontal="left" vertical="top" wrapText="1"/>
    </xf>
    <xf numFmtId="0" fontId="87" fillId="0" borderId="88" xfId="0" applyFont="1" applyBorder="1" applyAlignment="1">
      <alignment horizontal="left" vertical="top" wrapText="1"/>
    </xf>
    <xf numFmtId="0" fontId="87" fillId="0" borderId="89" xfId="0" applyFont="1" applyBorder="1" applyAlignment="1">
      <alignment horizontal="left" vertical="top" wrapText="1"/>
    </xf>
    <xf numFmtId="0" fontId="74" fillId="0" borderId="38" xfId="0" applyFont="1" applyFill="1" applyBorder="1" applyAlignment="1">
      <alignment horizontal="center" vertical="center" wrapText="1"/>
    </xf>
    <xf numFmtId="0" fontId="74" fillId="0" borderId="18" xfId="0" applyFont="1" applyFill="1" applyBorder="1" applyAlignment="1">
      <alignment horizontal="center" vertical="center" wrapText="1"/>
    </xf>
    <xf numFmtId="0" fontId="74" fillId="0" borderId="24" xfId="0" applyFont="1" applyFill="1" applyBorder="1" applyAlignment="1">
      <alignment horizontal="center" vertical="center" wrapText="1"/>
    </xf>
    <xf numFmtId="0" fontId="74" fillId="0" borderId="10" xfId="0" applyFont="1" applyFill="1" applyBorder="1" applyAlignment="1">
      <alignment horizontal="center" vertical="center" wrapText="1"/>
    </xf>
    <xf numFmtId="0" fontId="74" fillId="0" borderId="39" xfId="0" applyFont="1" applyFill="1" applyBorder="1" applyAlignment="1">
      <alignment horizontal="center" vertical="center" wrapText="1"/>
    </xf>
    <xf numFmtId="0" fontId="74" fillId="0" borderId="21" xfId="0" applyFont="1" applyFill="1" applyBorder="1" applyAlignment="1">
      <alignment horizontal="center" vertical="center" wrapText="1"/>
    </xf>
    <xf numFmtId="0" fontId="80" fillId="40" borderId="83" xfId="0" applyFont="1" applyFill="1" applyBorder="1" applyAlignment="1">
      <alignment horizontal="left" vertical="top" wrapText="1"/>
    </xf>
    <xf numFmtId="0" fontId="80" fillId="40" borderId="23" xfId="0" applyFont="1" applyFill="1" applyBorder="1" applyAlignment="1">
      <alignment horizontal="left" vertical="top" wrapText="1"/>
    </xf>
    <xf numFmtId="0" fontId="80" fillId="40" borderId="84" xfId="0" applyFont="1" applyFill="1" applyBorder="1" applyAlignment="1">
      <alignment horizontal="left" vertical="top" wrapText="1"/>
    </xf>
    <xf numFmtId="0" fontId="80" fillId="40" borderId="85" xfId="0" applyFont="1" applyFill="1" applyBorder="1" applyAlignment="1">
      <alignment horizontal="left" vertical="top" wrapText="1"/>
    </xf>
    <xf numFmtId="0" fontId="80" fillId="40" borderId="0" xfId="0" applyFont="1" applyFill="1" applyBorder="1" applyAlignment="1">
      <alignment horizontal="left" vertical="top" wrapText="1"/>
    </xf>
    <xf numFmtId="0" fontId="80" fillId="40" borderId="86" xfId="0" applyFont="1" applyFill="1" applyBorder="1" applyAlignment="1">
      <alignment horizontal="left" vertical="top" wrapText="1"/>
    </xf>
    <xf numFmtId="0" fontId="80" fillId="40" borderId="87" xfId="0" applyFont="1" applyFill="1" applyBorder="1" applyAlignment="1">
      <alignment horizontal="left" vertical="top" wrapText="1"/>
    </xf>
    <xf numFmtId="0" fontId="80" fillId="40" borderId="88" xfId="0" applyFont="1" applyFill="1" applyBorder="1" applyAlignment="1">
      <alignment horizontal="left" vertical="top" wrapText="1"/>
    </xf>
    <xf numFmtId="0" fontId="80" fillId="40" borderId="89" xfId="0" applyFont="1" applyFill="1" applyBorder="1" applyAlignment="1">
      <alignment horizontal="left" vertical="top" wrapText="1"/>
    </xf>
    <xf numFmtId="0" fontId="81" fillId="40" borderId="23" xfId="0" applyFont="1" applyFill="1" applyBorder="1" applyAlignment="1">
      <alignment horizontal="left" vertical="top"/>
    </xf>
    <xf numFmtId="0" fontId="81" fillId="40" borderId="84" xfId="0" applyFont="1" applyFill="1" applyBorder="1" applyAlignment="1">
      <alignment horizontal="left" vertical="top"/>
    </xf>
    <xf numFmtId="0" fontId="81" fillId="40" borderId="85" xfId="0" applyFont="1" applyFill="1" applyBorder="1" applyAlignment="1">
      <alignment horizontal="left" vertical="top"/>
    </xf>
    <xf numFmtId="0" fontId="81" fillId="40" borderId="0" xfId="0" applyFont="1" applyFill="1" applyBorder="1" applyAlignment="1">
      <alignment horizontal="left" vertical="top"/>
    </xf>
    <xf numFmtId="0" fontId="81" fillId="40" borderId="86" xfId="0" applyFont="1" applyFill="1" applyBorder="1" applyAlignment="1">
      <alignment horizontal="left" vertical="top"/>
    </xf>
    <xf numFmtId="0" fontId="81" fillId="40" borderId="87" xfId="0" applyFont="1" applyFill="1" applyBorder="1" applyAlignment="1">
      <alignment horizontal="left" vertical="top"/>
    </xf>
    <xf numFmtId="0" fontId="81" fillId="40" borderId="88" xfId="0" applyFont="1" applyFill="1" applyBorder="1" applyAlignment="1">
      <alignment horizontal="left" vertical="top"/>
    </xf>
    <xf numFmtId="0" fontId="81" fillId="40" borderId="89" xfId="0" applyFont="1" applyFill="1" applyBorder="1" applyAlignment="1">
      <alignment horizontal="left" vertical="top"/>
    </xf>
    <xf numFmtId="0" fontId="18" fillId="0" borderId="0" xfId="0" applyFont="1" applyBorder="1" applyAlignment="1">
      <alignment horizontal="left" wrapText="1"/>
    </xf>
    <xf numFmtId="0" fontId="77" fillId="0" borderId="40" xfId="0" applyFont="1" applyFill="1" applyBorder="1" applyAlignment="1">
      <alignment horizontal="center"/>
    </xf>
    <xf numFmtId="0" fontId="77" fillId="0" borderId="44" xfId="0" applyFont="1" applyFill="1" applyBorder="1" applyAlignment="1">
      <alignment horizontal="center"/>
    </xf>
    <xf numFmtId="0" fontId="77" fillId="0" borderId="41" xfId="0" applyFont="1" applyFill="1" applyBorder="1" applyAlignment="1">
      <alignment horizontal="center"/>
    </xf>
    <xf numFmtId="0" fontId="4" fillId="0" borderId="40" xfId="0" applyFont="1" applyFill="1" applyBorder="1" applyAlignment="1">
      <alignment horizontal="center"/>
    </xf>
    <xf numFmtId="0" fontId="4" fillId="0" borderId="44" xfId="0" applyFont="1" applyFill="1" applyBorder="1" applyAlignment="1">
      <alignment horizontal="center"/>
    </xf>
    <xf numFmtId="0" fontId="4" fillId="0" borderId="41" xfId="0" applyFont="1" applyFill="1" applyBorder="1" applyAlignment="1">
      <alignment horizontal="center"/>
    </xf>
    <xf numFmtId="0" fontId="5" fillId="0" borderId="80" xfId="0" applyFont="1" applyBorder="1" applyAlignment="1">
      <alignment horizontal="center" vertical="center"/>
    </xf>
    <xf numFmtId="0" fontId="5" fillId="0" borderId="81" xfId="0" applyFont="1" applyBorder="1" applyAlignment="1">
      <alignment horizontal="center" vertical="center"/>
    </xf>
    <xf numFmtId="0" fontId="5" fillId="0" borderId="82" xfId="0" applyFont="1" applyBorder="1" applyAlignment="1">
      <alignment horizontal="center" vertical="center"/>
    </xf>
    <xf numFmtId="0" fontId="44" fillId="0" borderId="0" xfId="0" applyFont="1" applyBorder="1" applyAlignment="1">
      <alignment horizontal="center" vertical="center" wrapText="1"/>
    </xf>
    <xf numFmtId="0" fontId="73" fillId="0" borderId="38" xfId="0" applyFont="1" applyBorder="1" applyAlignment="1">
      <alignment horizontal="center" vertical="center" wrapText="1"/>
    </xf>
    <xf numFmtId="0" fontId="73" fillId="0" borderId="18" xfId="0" applyFont="1" applyBorder="1" applyAlignment="1">
      <alignment horizontal="center" vertical="center" wrapText="1"/>
    </xf>
    <xf numFmtId="0" fontId="73" fillId="0" borderId="24" xfId="0" applyFont="1" applyBorder="1" applyAlignment="1">
      <alignment horizontal="center" vertical="center" wrapText="1"/>
    </xf>
    <xf numFmtId="0" fontId="73" fillId="0" borderId="10" xfId="0" applyFont="1" applyBorder="1" applyAlignment="1">
      <alignment horizontal="center" vertical="center" wrapText="1"/>
    </xf>
    <xf numFmtId="0" fontId="74" fillId="0" borderId="19" xfId="0" applyFont="1" applyFill="1" applyBorder="1" applyAlignment="1">
      <alignment horizontal="center" vertical="center" wrapText="1"/>
    </xf>
    <xf numFmtId="0" fontId="75" fillId="0" borderId="10" xfId="0" applyFont="1" applyBorder="1" applyAlignment="1">
      <alignment horizontal="center" vertical="center" wrapText="1"/>
    </xf>
    <xf numFmtId="0" fontId="75" fillId="0" borderId="20" xfId="0" applyFont="1" applyBorder="1" applyAlignment="1">
      <alignment horizontal="center" vertical="center" wrapText="1"/>
    </xf>
    <xf numFmtId="0" fontId="73" fillId="0" borderId="39" xfId="0" applyFont="1" applyBorder="1" applyAlignment="1">
      <alignment horizontal="center" vertical="center" wrapText="1"/>
    </xf>
    <xf numFmtId="0" fontId="73" fillId="0" borderId="21" xfId="0" applyFont="1" applyBorder="1" applyAlignment="1">
      <alignment horizontal="center" vertical="center" wrapText="1"/>
    </xf>
    <xf numFmtId="0" fontId="18" fillId="0" borderId="21" xfId="0" applyFont="1" applyBorder="1" applyAlignment="1">
      <alignment horizontal="center" vertical="center" wrapText="1"/>
    </xf>
    <xf numFmtId="0" fontId="18" fillId="0" borderId="22" xfId="0" applyFont="1" applyBorder="1" applyAlignment="1">
      <alignment horizontal="center" vertical="center" wrapText="1"/>
    </xf>
    <xf numFmtId="0" fontId="76" fillId="39" borderId="83" xfId="0" applyFont="1" applyFill="1" applyBorder="1" applyAlignment="1">
      <alignment horizontal="left" vertical="top" wrapText="1"/>
    </xf>
    <xf numFmtId="0" fontId="78" fillId="39" borderId="23" xfId="0" applyFont="1" applyFill="1" applyBorder="1" applyAlignment="1">
      <alignment horizontal="left" vertical="top"/>
    </xf>
    <xf numFmtId="0" fontId="78" fillId="39" borderId="84" xfId="0" applyFont="1" applyFill="1" applyBorder="1" applyAlignment="1">
      <alignment horizontal="left" vertical="top"/>
    </xf>
    <xf numFmtId="0" fontId="78" fillId="39" borderId="85" xfId="0" applyFont="1" applyFill="1" applyBorder="1" applyAlignment="1">
      <alignment horizontal="left" vertical="top"/>
    </xf>
    <xf numFmtId="0" fontId="78" fillId="39" borderId="0" xfId="0" applyFont="1" applyFill="1" applyBorder="1" applyAlignment="1">
      <alignment horizontal="left" vertical="top"/>
    </xf>
    <xf numFmtId="0" fontId="78" fillId="39" borderId="86" xfId="0" applyFont="1" applyFill="1" applyBorder="1" applyAlignment="1">
      <alignment horizontal="left" vertical="top"/>
    </xf>
    <xf numFmtId="0" fontId="78" fillId="39" borderId="87" xfId="0" applyFont="1" applyFill="1" applyBorder="1" applyAlignment="1">
      <alignment horizontal="left" vertical="top"/>
    </xf>
    <xf numFmtId="0" fontId="78" fillId="39" borderId="88" xfId="0" applyFont="1" applyFill="1" applyBorder="1" applyAlignment="1">
      <alignment horizontal="left" vertical="top"/>
    </xf>
    <xf numFmtId="0" fontId="78" fillId="39" borderId="89" xfId="0" applyFont="1" applyFill="1" applyBorder="1" applyAlignment="1">
      <alignment horizontal="left" vertical="top"/>
    </xf>
    <xf numFmtId="0" fontId="12" fillId="0" borderId="0" xfId="0" applyFont="1" applyFill="1" applyBorder="1" applyAlignment="1">
      <alignment horizontal="center" vertical="center" wrapText="1"/>
    </xf>
    <xf numFmtId="0" fontId="21" fillId="0" borderId="58" xfId="0" applyFont="1" applyBorder="1" applyAlignment="1">
      <alignment horizontal="left" vertical="top" wrapText="1"/>
    </xf>
    <xf numFmtId="0" fontId="21" fillId="0" borderId="59" xfId="0" applyFont="1" applyBorder="1" applyAlignment="1">
      <alignment horizontal="left" vertical="top" wrapText="1"/>
    </xf>
    <xf numFmtId="0" fontId="4" fillId="0" borderId="0" xfId="0" applyFont="1" applyFill="1" applyAlignment="1">
      <alignment horizontal="left" wrapText="1"/>
    </xf>
    <xf numFmtId="0" fontId="0" fillId="19" borderId="18" xfId="0" applyFill="1" applyBorder="1" applyAlignment="1">
      <alignment horizontal="center" wrapText="1"/>
    </xf>
    <xf numFmtId="0" fontId="0" fillId="19" borderId="18" xfId="0" applyFill="1" applyBorder="1" applyAlignment="1">
      <alignment horizontal="center"/>
    </xf>
    <xf numFmtId="0" fontId="22" fillId="17" borderId="72" xfId="0" applyFont="1" applyFill="1" applyBorder="1" applyAlignment="1">
      <alignment horizontal="center" vertical="center"/>
    </xf>
    <xf numFmtId="0" fontId="22" fillId="17" borderId="73" xfId="0" applyFont="1" applyFill="1" applyBorder="1" applyAlignment="1">
      <alignment horizontal="center" vertical="center"/>
    </xf>
    <xf numFmtId="0" fontId="22" fillId="17" borderId="74" xfId="0" applyFont="1" applyFill="1" applyBorder="1" applyAlignment="1">
      <alignment horizontal="center" vertical="center"/>
    </xf>
    <xf numFmtId="0" fontId="22" fillId="17" borderId="69" xfId="0" applyFont="1" applyFill="1" applyBorder="1" applyAlignment="1">
      <alignment horizontal="center" vertical="center"/>
    </xf>
    <xf numFmtId="0" fontId="22" fillId="17" borderId="70" xfId="0" applyFont="1" applyFill="1" applyBorder="1" applyAlignment="1">
      <alignment horizontal="center" vertical="center"/>
    </xf>
    <xf numFmtId="0" fontId="22" fillId="17" borderId="71" xfId="0" applyFont="1" applyFill="1" applyBorder="1" applyAlignment="1">
      <alignment horizontal="center" vertical="center"/>
    </xf>
    <xf numFmtId="0" fontId="12" fillId="0" borderId="0" xfId="0" applyFont="1" applyFill="1" applyAlignment="1">
      <alignment horizontal="center"/>
    </xf>
    <xf numFmtId="0" fontId="41" fillId="0" borderId="38" xfId="0" applyFont="1" applyFill="1" applyBorder="1" applyAlignment="1" applyProtection="1">
      <alignment horizontal="center" vertical="center" textRotation="90" wrapText="1"/>
      <protection locked="0"/>
    </xf>
    <xf numFmtId="0" fontId="41" fillId="0" borderId="24" xfId="0" applyFont="1" applyFill="1" applyBorder="1" applyAlignment="1" applyProtection="1">
      <alignment horizontal="center" vertical="center" textRotation="90" wrapText="1"/>
      <protection locked="0"/>
    </xf>
    <xf numFmtId="0" fontId="41" fillId="0" borderId="39" xfId="0" applyFont="1" applyFill="1" applyBorder="1" applyAlignment="1" applyProtection="1">
      <alignment horizontal="center" vertical="center" textRotation="90" wrapText="1"/>
      <protection locked="0"/>
    </xf>
    <xf numFmtId="0" fontId="4" fillId="0" borderId="10" xfId="0" applyFont="1" applyBorder="1" applyAlignment="1">
      <alignment horizontal="left" vertical="top" wrapText="1"/>
    </xf>
    <xf numFmtId="0" fontId="0" fillId="0" borderId="10" xfId="0" applyBorder="1" applyAlignment="1">
      <alignment horizontal="left" vertical="top" wrapText="1"/>
    </xf>
  </cellXfs>
  <cellStyles count="53">
    <cellStyle name="20% - Akzent1" xfId="35" xr:uid="{00000000-0005-0000-0000-000000000000}"/>
    <cellStyle name="20% - Akzent2" xfId="36" xr:uid="{00000000-0005-0000-0000-000001000000}"/>
    <cellStyle name="20% - Akzent3" xfId="37" xr:uid="{00000000-0005-0000-0000-000002000000}"/>
    <cellStyle name="20% - Akzent4" xfId="38" xr:uid="{00000000-0005-0000-0000-000003000000}"/>
    <cellStyle name="20% - Akzent5" xfId="39" xr:uid="{00000000-0005-0000-0000-000004000000}"/>
    <cellStyle name="20% - Akzent6" xfId="40" xr:uid="{00000000-0005-0000-0000-000005000000}"/>
    <cellStyle name="40% - Akzent1" xfId="41" xr:uid="{00000000-0005-0000-0000-000006000000}"/>
    <cellStyle name="40% - Akzent2" xfId="42" xr:uid="{00000000-0005-0000-0000-000007000000}"/>
    <cellStyle name="40% - Akzent3" xfId="43" xr:uid="{00000000-0005-0000-0000-000008000000}"/>
    <cellStyle name="40% - Akzent4" xfId="44" xr:uid="{00000000-0005-0000-0000-000009000000}"/>
    <cellStyle name="40% - Akzent5" xfId="45" xr:uid="{00000000-0005-0000-0000-00000A000000}"/>
    <cellStyle name="40% - Akzent6" xfId="46" xr:uid="{00000000-0005-0000-0000-00000B000000}"/>
    <cellStyle name="60% - Akzent1" xfId="47" xr:uid="{00000000-0005-0000-0000-00000C000000}"/>
    <cellStyle name="60% - Akzent2" xfId="48" xr:uid="{00000000-0005-0000-0000-00000D000000}"/>
    <cellStyle name="60% - Akzent3" xfId="49" xr:uid="{00000000-0005-0000-0000-00000E000000}"/>
    <cellStyle name="60% - Akzent4" xfId="50" xr:uid="{00000000-0005-0000-0000-00000F000000}"/>
    <cellStyle name="60% - Akzent5" xfId="51" xr:uid="{00000000-0005-0000-0000-000010000000}"/>
    <cellStyle name="60% - Akzent6" xfId="52" xr:uid="{00000000-0005-0000-0000-000011000000}"/>
    <cellStyle name="Akzent1" xfId="1" xr:uid="{00000000-0005-0000-0000-000012000000}"/>
    <cellStyle name="Akzent2" xfId="2" xr:uid="{00000000-0005-0000-0000-000013000000}"/>
    <cellStyle name="Akzent3" xfId="3" xr:uid="{00000000-0005-0000-0000-000014000000}"/>
    <cellStyle name="Akzent4" xfId="4" xr:uid="{00000000-0005-0000-0000-000015000000}"/>
    <cellStyle name="Akzent5" xfId="5" xr:uid="{00000000-0005-0000-0000-000016000000}"/>
    <cellStyle name="Akzent6" xfId="6" xr:uid="{00000000-0005-0000-0000-000017000000}"/>
    <cellStyle name="Ausgabe" xfId="7" xr:uid="{00000000-0005-0000-0000-000018000000}"/>
    <cellStyle name="Berechnung" xfId="8" xr:uid="{00000000-0005-0000-0000-000019000000}"/>
    <cellStyle name="Eingabe" xfId="9" xr:uid="{00000000-0005-0000-0000-00001A000000}"/>
    <cellStyle name="Ergebnis" xfId="10" xr:uid="{00000000-0005-0000-0000-00001B000000}"/>
    <cellStyle name="Erklärender Text" xfId="11" xr:uid="{00000000-0005-0000-0000-00001C000000}"/>
    <cellStyle name="Gut" xfId="12" xr:uid="{00000000-0005-0000-0000-00001D000000}"/>
    <cellStyle name="Hyperlink" xfId="13" builtinId="8"/>
    <cellStyle name="Hyperlink 2" xfId="33" xr:uid="{00000000-0005-0000-0000-00001E000000}"/>
    <cellStyle name="Hyperlink_ORIGINAL-WP-T02_PreliminaryHazardAnalysis" xfId="14" xr:uid="{00000000-0005-0000-0000-00001F000000}"/>
    <cellStyle name="Neutral" xfId="15" builtinId="28" customBuiltin="1"/>
    <cellStyle name="Neutral 2" xfId="32" xr:uid="{00000000-0005-0000-0000-000022000000}"/>
    <cellStyle name="Normal" xfId="0" builtinId="0"/>
    <cellStyle name="Normal 2" xfId="16" xr:uid="{00000000-0005-0000-0000-000023000000}"/>
    <cellStyle name="Normal 3" xfId="31" xr:uid="{00000000-0005-0000-0000-000024000000}"/>
    <cellStyle name="Notiz" xfId="17" xr:uid="{00000000-0005-0000-0000-000025000000}"/>
    <cellStyle name="Notiz 2" xfId="28" xr:uid="{00000000-0005-0000-0000-000026000000}"/>
    <cellStyle name="Schlecht" xfId="18" xr:uid="{00000000-0005-0000-0000-000027000000}"/>
    <cellStyle name="Standard 2" xfId="29" xr:uid="{00000000-0005-0000-0000-000029000000}"/>
    <cellStyle name="Standard 3" xfId="30" xr:uid="{00000000-0005-0000-0000-00002A000000}"/>
    <cellStyle name="Standard 4" xfId="34" xr:uid="{00000000-0005-0000-0000-00002B000000}"/>
    <cellStyle name="Standard_20090701- PHA Situation_ORIGINAL-WP-T02_PreliminaryHazardAnalysis" xfId="19" xr:uid="{00000000-0005-0000-0000-00002C000000}"/>
    <cellStyle name="Überschrift" xfId="20" xr:uid="{00000000-0005-0000-0000-00002D000000}"/>
    <cellStyle name="Überschrift 1" xfId="21" xr:uid="{00000000-0005-0000-0000-00002E000000}"/>
    <cellStyle name="Überschrift 2" xfId="22" xr:uid="{00000000-0005-0000-0000-00002F000000}"/>
    <cellStyle name="Überschrift 3" xfId="23" xr:uid="{00000000-0005-0000-0000-000030000000}"/>
    <cellStyle name="Überschrift 4" xfId="24" xr:uid="{00000000-0005-0000-0000-000031000000}"/>
    <cellStyle name="Verknüpfte Zelle" xfId="25" xr:uid="{00000000-0005-0000-0000-000032000000}"/>
    <cellStyle name="Warnender Text" xfId="26" xr:uid="{00000000-0005-0000-0000-000033000000}"/>
    <cellStyle name="Zelle überprüfen" xfId="27" xr:uid="{00000000-0005-0000-0000-000034000000}"/>
  </cellStyles>
  <dxfs count="2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92D050"/>
        </patternFill>
      </fill>
    </dxf>
    <dxf>
      <fill>
        <patternFill>
          <bgColor rgb="FF0070C0"/>
        </patternFill>
      </fill>
    </dxf>
    <dxf>
      <fill>
        <patternFill>
          <bgColor rgb="FFFFFF00"/>
        </patternFill>
      </fill>
    </dxf>
    <dxf>
      <fill>
        <patternFill>
          <bgColor rgb="FFFF0000"/>
        </patternFill>
      </fill>
    </dxf>
    <dxf>
      <fill>
        <patternFill>
          <bgColor theme="0" tint="-0.34998626667073579"/>
        </patternFill>
      </fill>
    </dxf>
    <dxf>
      <font>
        <color auto="1"/>
      </font>
      <fill>
        <patternFill>
          <bgColor rgb="FF92D050"/>
        </patternFill>
      </fill>
    </dxf>
    <dxf>
      <fill>
        <patternFill>
          <bgColor rgb="FF0070C0"/>
        </patternFill>
      </fill>
    </dxf>
    <dxf>
      <fill>
        <patternFill>
          <bgColor rgb="FFFFFF00"/>
        </patternFill>
      </fill>
    </dxf>
    <dxf>
      <fill>
        <patternFill>
          <bgColor rgb="FFFF0000"/>
        </patternFill>
      </fill>
    </dxf>
    <dxf>
      <fill>
        <patternFill>
          <bgColor theme="0" tint="-0.34998626667073579"/>
        </patternFill>
      </fill>
    </dxf>
    <dxf>
      <font>
        <color auto="1"/>
      </font>
      <fill>
        <patternFill>
          <bgColor rgb="FF92D050"/>
        </patternFill>
      </fill>
    </dxf>
    <dxf>
      <fill>
        <patternFill>
          <bgColor rgb="FF0070C0"/>
        </patternFill>
      </fill>
    </dxf>
    <dxf>
      <fill>
        <patternFill>
          <bgColor rgb="FFFFFF00"/>
        </patternFill>
      </fill>
    </dxf>
    <dxf>
      <fill>
        <patternFill>
          <bgColor rgb="FFFF0000"/>
        </patternFill>
      </fill>
    </dxf>
    <dxf>
      <fill>
        <patternFill>
          <bgColor theme="0" tint="-0.34998626667073579"/>
        </patternFill>
      </fill>
    </dxf>
    <dxf>
      <font>
        <color auto="1"/>
      </font>
      <fill>
        <patternFill>
          <bgColor rgb="FF92D050"/>
        </patternFill>
      </fill>
    </dxf>
    <dxf>
      <fill>
        <patternFill>
          <bgColor rgb="FF0070C0"/>
        </patternFill>
      </fill>
    </dxf>
    <dxf>
      <fill>
        <patternFill>
          <bgColor rgb="FFFFFF00"/>
        </patternFill>
      </fill>
    </dxf>
    <dxf>
      <fill>
        <patternFill>
          <bgColor rgb="FFFF0000"/>
        </patternFill>
      </fill>
    </dxf>
    <dxf>
      <fill>
        <patternFill>
          <bgColor theme="0" tint="-0.3499862666707357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customXml" Target="../customXml/item1.xml"/><Relationship Id="rId30"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0.jpeg"/><Relationship Id="rId3" Type="http://schemas.openxmlformats.org/officeDocument/2006/relationships/image" Target="../media/image5.jpeg"/><Relationship Id="rId7" Type="http://schemas.openxmlformats.org/officeDocument/2006/relationships/image" Target="../media/image9.jpe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gif"/><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25</xdr:col>
      <xdr:colOff>323850</xdr:colOff>
      <xdr:row>0</xdr:row>
      <xdr:rowOff>66675</xdr:rowOff>
    </xdr:from>
    <xdr:to>
      <xdr:col>26</xdr:col>
      <xdr:colOff>401843</xdr:colOff>
      <xdr:row>2</xdr:row>
      <xdr:rowOff>85725</xdr:rowOff>
    </xdr:to>
    <xdr:pic>
      <xdr:nvPicPr>
        <xdr:cNvPr id="1273" name="Bild 7" descr="FO_RGB">
          <a:extLst>
            <a:ext uri="{FF2B5EF4-FFF2-40B4-BE49-F238E27FC236}">
              <a16:creationId xmlns:a16="http://schemas.microsoft.com/office/drawing/2014/main" id="{00000000-0008-0000-0700-0000F9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18468" y="66675"/>
          <a:ext cx="1491503"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323850</xdr:colOff>
      <xdr:row>0</xdr:row>
      <xdr:rowOff>66675</xdr:rowOff>
    </xdr:from>
    <xdr:to>
      <xdr:col>20</xdr:col>
      <xdr:colOff>1826783</xdr:colOff>
      <xdr:row>2</xdr:row>
      <xdr:rowOff>85725</xdr:rowOff>
    </xdr:to>
    <xdr:pic>
      <xdr:nvPicPr>
        <xdr:cNvPr id="3" name="Bild 7" descr="FO_RGB">
          <a:extLst>
            <a:ext uri="{FF2B5EF4-FFF2-40B4-BE49-F238E27FC236}">
              <a16:creationId xmlns:a16="http://schemas.microsoft.com/office/drawing/2014/main" id="{3834B746-1148-460C-86CA-51838348D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69170" y="66675"/>
          <a:ext cx="1502933"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349251</xdr:colOff>
      <xdr:row>88</xdr:row>
      <xdr:rowOff>72571</xdr:rowOff>
    </xdr:from>
    <xdr:to>
      <xdr:col>4</xdr:col>
      <xdr:colOff>172902</xdr:colOff>
      <xdr:row>91</xdr:row>
      <xdr:rowOff>36457</xdr:rowOff>
    </xdr:to>
    <xdr:pic>
      <xdr:nvPicPr>
        <xdr:cNvPr id="2" name="Picture 10">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491" y="15975511"/>
          <a:ext cx="1385751" cy="441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254000</xdr:colOff>
      <xdr:row>91</xdr:row>
      <xdr:rowOff>136072</xdr:rowOff>
    </xdr:from>
    <xdr:to>
      <xdr:col>15</xdr:col>
      <xdr:colOff>430893</xdr:colOff>
      <xdr:row>91</xdr:row>
      <xdr:rowOff>136072</xdr:rowOff>
    </xdr:to>
    <xdr:cxnSp macro="">
      <xdr:nvCxnSpPr>
        <xdr:cNvPr id="3" name="Straight Connector 11">
          <a:extLst>
            <a:ext uri="{FF2B5EF4-FFF2-40B4-BE49-F238E27FC236}">
              <a16:creationId xmlns:a16="http://schemas.microsoft.com/office/drawing/2014/main" id="{00000000-0008-0000-0D00-000003000000}"/>
            </a:ext>
          </a:extLst>
        </xdr:cNvPr>
        <xdr:cNvCxnSpPr/>
      </xdr:nvCxnSpPr>
      <xdr:spPr>
        <a:xfrm>
          <a:off x="6883400" y="16519072"/>
          <a:ext cx="892465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430893</xdr:colOff>
      <xdr:row>91</xdr:row>
      <xdr:rowOff>136071</xdr:rowOff>
    </xdr:from>
    <xdr:to>
      <xdr:col>3</xdr:col>
      <xdr:colOff>444500</xdr:colOff>
      <xdr:row>94</xdr:row>
      <xdr:rowOff>149678</xdr:rowOff>
    </xdr:to>
    <xdr:cxnSp macro="">
      <xdr:nvCxnSpPr>
        <xdr:cNvPr id="4" name="Straight Arrow Connector 13">
          <a:extLst>
            <a:ext uri="{FF2B5EF4-FFF2-40B4-BE49-F238E27FC236}">
              <a16:creationId xmlns:a16="http://schemas.microsoft.com/office/drawing/2014/main" id="{00000000-0008-0000-0D00-000004000000}"/>
            </a:ext>
          </a:extLst>
        </xdr:cNvPr>
        <xdr:cNvCxnSpPr/>
      </xdr:nvCxnSpPr>
      <xdr:spPr>
        <a:xfrm flipV="1">
          <a:off x="8309973" y="16519071"/>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417286</xdr:colOff>
      <xdr:row>93</xdr:row>
      <xdr:rowOff>45357</xdr:rowOff>
    </xdr:from>
    <xdr:ext cx="1265464" cy="436786"/>
    <xdr:sp macro="" textlink="">
      <xdr:nvSpPr>
        <xdr:cNvPr id="5" name="TextBox 14">
          <a:extLst>
            <a:ext uri="{FF2B5EF4-FFF2-40B4-BE49-F238E27FC236}">
              <a16:creationId xmlns:a16="http://schemas.microsoft.com/office/drawing/2014/main" id="{00000000-0008-0000-0D00-000005000000}"/>
            </a:ext>
          </a:extLst>
        </xdr:cNvPr>
        <xdr:cNvSpPr txBox="1"/>
      </xdr:nvSpPr>
      <xdr:spPr>
        <a:xfrm>
          <a:off x="8296366" y="16748397"/>
          <a:ext cx="1265464"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Malfunction</a:t>
          </a:r>
          <a:r>
            <a:rPr lang="en-US" sz="1100" baseline="0"/>
            <a:t> in the Airbag feature</a:t>
          </a:r>
          <a:endParaRPr lang="en-US" sz="1100"/>
        </a:p>
      </xdr:txBody>
    </xdr:sp>
    <xdr:clientData/>
  </xdr:oneCellAnchor>
  <xdr:twoCellAnchor editAs="oneCell">
    <xdr:from>
      <xdr:col>8</xdr:col>
      <xdr:colOff>417287</xdr:colOff>
      <xdr:row>87</xdr:row>
      <xdr:rowOff>122464</xdr:rowOff>
    </xdr:from>
    <xdr:to>
      <xdr:col>12</xdr:col>
      <xdr:colOff>18145</xdr:colOff>
      <xdr:row>91</xdr:row>
      <xdr:rowOff>35138</xdr:rowOff>
    </xdr:to>
    <xdr:pic>
      <xdr:nvPicPr>
        <xdr:cNvPr id="6" name="Picture 1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20567" y="15865384"/>
          <a:ext cx="2740297" cy="5493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553357</xdr:colOff>
      <xdr:row>91</xdr:row>
      <xdr:rowOff>149679</xdr:rowOff>
    </xdr:from>
    <xdr:to>
      <xdr:col>10</xdr:col>
      <xdr:colOff>566964</xdr:colOff>
      <xdr:row>95</xdr:row>
      <xdr:rowOff>4536</xdr:rowOff>
    </xdr:to>
    <xdr:cxnSp macro="">
      <xdr:nvCxnSpPr>
        <xdr:cNvPr id="7" name="Straight Arrow Connector 16">
          <a:extLst>
            <a:ext uri="{FF2B5EF4-FFF2-40B4-BE49-F238E27FC236}">
              <a16:creationId xmlns:a16="http://schemas.microsoft.com/office/drawing/2014/main" id="{00000000-0008-0000-0D00-000007000000}"/>
            </a:ext>
          </a:extLst>
        </xdr:cNvPr>
        <xdr:cNvCxnSpPr/>
      </xdr:nvCxnSpPr>
      <xdr:spPr>
        <a:xfrm flipV="1">
          <a:off x="12806317" y="16532679"/>
          <a:ext cx="13607" cy="494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598713</xdr:colOff>
      <xdr:row>93</xdr:row>
      <xdr:rowOff>72571</xdr:rowOff>
    </xdr:from>
    <xdr:ext cx="1891393" cy="609013"/>
    <xdr:sp macro="" textlink="">
      <xdr:nvSpPr>
        <xdr:cNvPr id="8" name="TextBox 17">
          <a:extLst>
            <a:ext uri="{FF2B5EF4-FFF2-40B4-BE49-F238E27FC236}">
              <a16:creationId xmlns:a16="http://schemas.microsoft.com/office/drawing/2014/main" id="{00000000-0008-0000-0D00-000008000000}"/>
            </a:ext>
          </a:extLst>
        </xdr:cNvPr>
        <xdr:cNvSpPr txBox="1"/>
      </xdr:nvSpPr>
      <xdr:spPr>
        <a:xfrm>
          <a:off x="12851673" y="16775611"/>
          <a:ext cx="189139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During</a:t>
          </a:r>
          <a:r>
            <a:rPr lang="en-US" sz="1100" baseline="0"/>
            <a:t> Crash situation the effect of the malfunction behavior leads to hazard</a:t>
          </a:r>
          <a:endParaRPr lang="en-US" sz="1100"/>
        </a:p>
      </xdr:txBody>
    </xdr:sp>
    <xdr:clientData/>
  </xdr:oneCellAnchor>
  <xdr:twoCellAnchor editAs="oneCell">
    <xdr:from>
      <xdr:col>2</xdr:col>
      <xdr:colOff>412751</xdr:colOff>
      <xdr:row>113</xdr:row>
      <xdr:rowOff>11339</xdr:rowOff>
    </xdr:from>
    <xdr:to>
      <xdr:col>4</xdr:col>
      <xdr:colOff>228782</xdr:colOff>
      <xdr:row>115</xdr:row>
      <xdr:rowOff>133127</xdr:rowOff>
    </xdr:to>
    <xdr:pic>
      <xdr:nvPicPr>
        <xdr:cNvPr id="9" name="Picture 1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66991" y="19914779"/>
          <a:ext cx="1385751" cy="4401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358321</xdr:colOff>
      <xdr:row>116</xdr:row>
      <xdr:rowOff>102054</xdr:rowOff>
    </xdr:from>
    <xdr:to>
      <xdr:col>15</xdr:col>
      <xdr:colOff>535214</xdr:colOff>
      <xdr:row>116</xdr:row>
      <xdr:rowOff>102054</xdr:rowOff>
    </xdr:to>
    <xdr:cxnSp macro="">
      <xdr:nvCxnSpPr>
        <xdr:cNvPr id="10" name="Straight Connector 19">
          <a:extLst>
            <a:ext uri="{FF2B5EF4-FFF2-40B4-BE49-F238E27FC236}">
              <a16:creationId xmlns:a16="http://schemas.microsoft.com/office/drawing/2014/main" id="{00000000-0008-0000-0D00-00000A000000}"/>
            </a:ext>
          </a:extLst>
        </xdr:cNvPr>
        <xdr:cNvCxnSpPr/>
      </xdr:nvCxnSpPr>
      <xdr:spPr>
        <a:xfrm>
          <a:off x="6987721" y="20485554"/>
          <a:ext cx="892465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426358</xdr:colOff>
      <xdr:row>116</xdr:row>
      <xdr:rowOff>129268</xdr:rowOff>
    </xdr:from>
    <xdr:to>
      <xdr:col>3</xdr:col>
      <xdr:colOff>439965</xdr:colOff>
      <xdr:row>119</xdr:row>
      <xdr:rowOff>142875</xdr:rowOff>
    </xdr:to>
    <xdr:cxnSp macro="">
      <xdr:nvCxnSpPr>
        <xdr:cNvPr id="11" name="Straight Arrow Connector 20">
          <a:extLst>
            <a:ext uri="{FF2B5EF4-FFF2-40B4-BE49-F238E27FC236}">
              <a16:creationId xmlns:a16="http://schemas.microsoft.com/office/drawing/2014/main" id="{00000000-0008-0000-0D00-00000B000000}"/>
            </a:ext>
          </a:extLst>
        </xdr:cNvPr>
        <xdr:cNvCxnSpPr/>
      </xdr:nvCxnSpPr>
      <xdr:spPr>
        <a:xfrm flipV="1">
          <a:off x="8305438" y="20512768"/>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521607</xdr:colOff>
      <xdr:row>119</xdr:row>
      <xdr:rowOff>61231</xdr:rowOff>
    </xdr:from>
    <xdr:ext cx="1265464" cy="436786"/>
    <xdr:sp macro="" textlink="">
      <xdr:nvSpPr>
        <xdr:cNvPr id="12" name="TextBox 21">
          <a:extLst>
            <a:ext uri="{FF2B5EF4-FFF2-40B4-BE49-F238E27FC236}">
              <a16:creationId xmlns:a16="http://schemas.microsoft.com/office/drawing/2014/main" id="{00000000-0008-0000-0D00-00000C000000}"/>
            </a:ext>
          </a:extLst>
        </xdr:cNvPr>
        <xdr:cNvSpPr txBox="1"/>
      </xdr:nvSpPr>
      <xdr:spPr>
        <a:xfrm>
          <a:off x="8400687" y="20924791"/>
          <a:ext cx="1265464"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Vehicle driving at high speed</a:t>
          </a:r>
        </a:p>
      </xdr:txBody>
    </xdr:sp>
    <xdr:clientData/>
  </xdr:oneCellAnchor>
  <xdr:twoCellAnchor editAs="oneCell">
    <xdr:from>
      <xdr:col>7</xdr:col>
      <xdr:colOff>40821</xdr:colOff>
      <xdr:row>111</xdr:row>
      <xdr:rowOff>74840</xdr:rowOff>
    </xdr:from>
    <xdr:to>
      <xdr:col>8</xdr:col>
      <xdr:colOff>19393</xdr:colOff>
      <xdr:row>116</xdr:row>
      <xdr:rowOff>59479</xdr:rowOff>
    </xdr:to>
    <xdr:pic>
      <xdr:nvPicPr>
        <xdr:cNvPr id="13" name="Picture 2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419261" y="19658240"/>
          <a:ext cx="763433" cy="7728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385536</xdr:colOff>
      <xdr:row>116</xdr:row>
      <xdr:rowOff>129268</xdr:rowOff>
    </xdr:from>
    <xdr:to>
      <xdr:col>7</xdr:col>
      <xdr:colOff>399143</xdr:colOff>
      <xdr:row>119</xdr:row>
      <xdr:rowOff>142875</xdr:rowOff>
    </xdr:to>
    <xdr:cxnSp macro="">
      <xdr:nvCxnSpPr>
        <xdr:cNvPr id="14" name="Straight Arrow Connector 23">
          <a:extLst>
            <a:ext uri="{FF2B5EF4-FFF2-40B4-BE49-F238E27FC236}">
              <a16:creationId xmlns:a16="http://schemas.microsoft.com/office/drawing/2014/main" id="{00000000-0008-0000-0D00-00000E000000}"/>
            </a:ext>
          </a:extLst>
        </xdr:cNvPr>
        <xdr:cNvCxnSpPr/>
      </xdr:nvCxnSpPr>
      <xdr:spPr>
        <a:xfrm flipV="1">
          <a:off x="10763976" y="20512768"/>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399141</xdr:colOff>
      <xdr:row>119</xdr:row>
      <xdr:rowOff>38553</xdr:rowOff>
    </xdr:from>
    <xdr:ext cx="1673679" cy="609013"/>
    <xdr:sp macro="" textlink="">
      <xdr:nvSpPr>
        <xdr:cNvPr id="15" name="TextBox 24">
          <a:extLst>
            <a:ext uri="{FF2B5EF4-FFF2-40B4-BE49-F238E27FC236}">
              <a16:creationId xmlns:a16="http://schemas.microsoft.com/office/drawing/2014/main" id="{00000000-0008-0000-0D00-00000F000000}"/>
            </a:ext>
          </a:extLst>
        </xdr:cNvPr>
        <xdr:cNvSpPr txBox="1"/>
      </xdr:nvSpPr>
      <xdr:spPr>
        <a:xfrm>
          <a:off x="10777581" y="20902113"/>
          <a:ext cx="1673679"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Airbag deploys unintendedly while driving at speed</a:t>
          </a:r>
        </a:p>
      </xdr:txBody>
    </xdr:sp>
    <xdr:clientData/>
  </xdr:oneCellAnchor>
  <xdr:twoCellAnchor>
    <xdr:from>
      <xdr:col>10</xdr:col>
      <xdr:colOff>263072</xdr:colOff>
      <xdr:row>116</xdr:row>
      <xdr:rowOff>115660</xdr:rowOff>
    </xdr:from>
    <xdr:to>
      <xdr:col>10</xdr:col>
      <xdr:colOff>276679</xdr:colOff>
      <xdr:row>119</xdr:row>
      <xdr:rowOff>129267</xdr:rowOff>
    </xdr:to>
    <xdr:cxnSp macro="">
      <xdr:nvCxnSpPr>
        <xdr:cNvPr id="16" name="Straight Arrow Connector 25">
          <a:extLst>
            <a:ext uri="{FF2B5EF4-FFF2-40B4-BE49-F238E27FC236}">
              <a16:creationId xmlns:a16="http://schemas.microsoft.com/office/drawing/2014/main" id="{00000000-0008-0000-0D00-000010000000}"/>
            </a:ext>
          </a:extLst>
        </xdr:cNvPr>
        <xdr:cNvCxnSpPr/>
      </xdr:nvCxnSpPr>
      <xdr:spPr>
        <a:xfrm flipV="1">
          <a:off x="12516032" y="20499160"/>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217713</xdr:colOff>
      <xdr:row>119</xdr:row>
      <xdr:rowOff>24946</xdr:rowOff>
    </xdr:from>
    <xdr:ext cx="1673679" cy="609013"/>
    <xdr:sp macro="" textlink="">
      <xdr:nvSpPr>
        <xdr:cNvPr id="17" name="TextBox 26">
          <a:extLst>
            <a:ext uri="{FF2B5EF4-FFF2-40B4-BE49-F238E27FC236}">
              <a16:creationId xmlns:a16="http://schemas.microsoft.com/office/drawing/2014/main" id="{00000000-0008-0000-0D00-000011000000}"/>
            </a:ext>
          </a:extLst>
        </xdr:cNvPr>
        <xdr:cNvSpPr txBox="1"/>
      </xdr:nvSpPr>
      <xdr:spPr>
        <a:xfrm>
          <a:off x="12470673" y="20888506"/>
          <a:ext cx="1673679"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Hazard occurs immediately as an effect</a:t>
          </a:r>
          <a:r>
            <a:rPr lang="en-US" sz="1100" baseline="0"/>
            <a:t> of malfunction behavior</a:t>
          </a:r>
          <a:endParaRPr lang="en-US" sz="1100"/>
        </a:p>
      </xdr:txBody>
    </xdr:sp>
    <xdr:clientData/>
  </xdr:oneCellAnchor>
  <xdr:twoCellAnchor>
    <xdr:from>
      <xdr:col>8</xdr:col>
      <xdr:colOff>213179</xdr:colOff>
      <xdr:row>85</xdr:row>
      <xdr:rowOff>58964</xdr:rowOff>
    </xdr:from>
    <xdr:to>
      <xdr:col>13</xdr:col>
      <xdr:colOff>281215</xdr:colOff>
      <xdr:row>91</xdr:row>
      <xdr:rowOff>136071</xdr:rowOff>
    </xdr:to>
    <xdr:sp macro="" textlink="">
      <xdr:nvSpPr>
        <xdr:cNvPr id="18" name="Rectangle 27">
          <a:extLst>
            <a:ext uri="{FF2B5EF4-FFF2-40B4-BE49-F238E27FC236}">
              <a16:creationId xmlns:a16="http://schemas.microsoft.com/office/drawing/2014/main" id="{00000000-0008-0000-0D00-000012000000}"/>
            </a:ext>
          </a:extLst>
        </xdr:cNvPr>
        <xdr:cNvSpPr/>
      </xdr:nvSpPr>
      <xdr:spPr>
        <a:xfrm>
          <a:off x="11216459" y="15481844"/>
          <a:ext cx="3192236" cy="1037227"/>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Crash Event</a:t>
          </a:r>
        </a:p>
      </xdr:txBody>
    </xdr:sp>
    <xdr:clientData/>
  </xdr:twoCellAnchor>
  <xdr:twoCellAnchor>
    <xdr:from>
      <xdr:col>2</xdr:col>
      <xdr:colOff>358321</xdr:colOff>
      <xdr:row>110</xdr:row>
      <xdr:rowOff>24946</xdr:rowOff>
    </xdr:from>
    <xdr:to>
      <xdr:col>11</xdr:col>
      <xdr:colOff>163286</xdr:colOff>
      <xdr:row>116</xdr:row>
      <xdr:rowOff>102053</xdr:rowOff>
    </xdr:to>
    <xdr:sp macro="" textlink="">
      <xdr:nvSpPr>
        <xdr:cNvPr id="19" name="Rectangle 28">
          <a:extLst>
            <a:ext uri="{FF2B5EF4-FFF2-40B4-BE49-F238E27FC236}">
              <a16:creationId xmlns:a16="http://schemas.microsoft.com/office/drawing/2014/main" id="{00000000-0008-0000-0D00-000013000000}"/>
            </a:ext>
          </a:extLst>
        </xdr:cNvPr>
        <xdr:cNvSpPr/>
      </xdr:nvSpPr>
      <xdr:spPr>
        <a:xfrm>
          <a:off x="7612561" y="19448326"/>
          <a:ext cx="5428525" cy="1037227"/>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Driving at speed</a:t>
          </a:r>
        </a:p>
      </xdr:txBody>
    </xdr:sp>
    <xdr:clientData/>
  </xdr:twoCellAnchor>
  <xdr:twoCellAnchor>
    <xdr:from>
      <xdr:col>0</xdr:col>
      <xdr:colOff>664483</xdr:colOff>
      <xdr:row>34</xdr:row>
      <xdr:rowOff>22224</xdr:rowOff>
    </xdr:from>
    <xdr:to>
      <xdr:col>1</xdr:col>
      <xdr:colOff>63500</xdr:colOff>
      <xdr:row>36</xdr:row>
      <xdr:rowOff>79374</xdr:rowOff>
    </xdr:to>
    <xdr:sp macro="" textlink="">
      <xdr:nvSpPr>
        <xdr:cNvPr id="20" name="Oval 45">
          <a:extLst>
            <a:ext uri="{FF2B5EF4-FFF2-40B4-BE49-F238E27FC236}">
              <a16:creationId xmlns:a16="http://schemas.microsoft.com/office/drawing/2014/main" id="{00000000-0008-0000-0D00-000014000000}"/>
            </a:ext>
          </a:extLst>
        </xdr:cNvPr>
        <xdr:cNvSpPr/>
      </xdr:nvSpPr>
      <xdr:spPr>
        <a:xfrm>
          <a:off x="664483" y="7223124"/>
          <a:ext cx="404857" cy="39243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1</a:t>
          </a:r>
        </a:p>
      </xdr:txBody>
    </xdr:sp>
    <xdr:clientData/>
  </xdr:twoCellAnchor>
  <xdr:twoCellAnchor>
    <xdr:from>
      <xdr:col>17</xdr:col>
      <xdr:colOff>283483</xdr:colOff>
      <xdr:row>34</xdr:row>
      <xdr:rowOff>53974</xdr:rowOff>
    </xdr:from>
    <xdr:to>
      <xdr:col>18</xdr:col>
      <xdr:colOff>63500</xdr:colOff>
      <xdr:row>36</xdr:row>
      <xdr:rowOff>111124</xdr:rowOff>
    </xdr:to>
    <xdr:sp macro="" textlink="">
      <xdr:nvSpPr>
        <xdr:cNvPr id="21" name="Oval 54">
          <a:extLst>
            <a:ext uri="{FF2B5EF4-FFF2-40B4-BE49-F238E27FC236}">
              <a16:creationId xmlns:a16="http://schemas.microsoft.com/office/drawing/2014/main" id="{00000000-0008-0000-0D00-000015000000}"/>
            </a:ext>
          </a:extLst>
        </xdr:cNvPr>
        <xdr:cNvSpPr/>
      </xdr:nvSpPr>
      <xdr:spPr>
        <a:xfrm>
          <a:off x="11286763" y="7254874"/>
          <a:ext cx="404857" cy="39243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2</a:t>
          </a:r>
        </a:p>
      </xdr:txBody>
    </xdr:sp>
    <xdr:clientData/>
  </xdr:twoCellAnchor>
  <xdr:twoCellAnchor>
    <xdr:from>
      <xdr:col>30</xdr:col>
      <xdr:colOff>158750</xdr:colOff>
      <xdr:row>36</xdr:row>
      <xdr:rowOff>31750</xdr:rowOff>
    </xdr:from>
    <xdr:to>
      <xdr:col>32</xdr:col>
      <xdr:colOff>396873</xdr:colOff>
      <xdr:row>45</xdr:row>
      <xdr:rowOff>79642</xdr:rowOff>
    </xdr:to>
    <xdr:pic>
      <xdr:nvPicPr>
        <xdr:cNvPr id="22" name="Picture 55">
          <a:extLst>
            <a:ext uri="{FF2B5EF4-FFF2-40B4-BE49-F238E27FC236}">
              <a16:creationId xmlns:a16="http://schemas.microsoft.com/office/drawing/2014/main" id="{00000000-0008-0000-0D00-00001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284950" y="7567930"/>
          <a:ext cx="1487803" cy="14880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539749</xdr:colOff>
      <xdr:row>86</xdr:row>
      <xdr:rowOff>99783</xdr:rowOff>
    </xdr:from>
    <xdr:to>
      <xdr:col>21</xdr:col>
      <xdr:colOff>363401</xdr:colOff>
      <xdr:row>89</xdr:row>
      <xdr:rowOff>56049</xdr:rowOff>
    </xdr:to>
    <xdr:pic>
      <xdr:nvPicPr>
        <xdr:cNvPr id="23" name="Picture 10">
          <a:extLst>
            <a:ext uri="{FF2B5EF4-FFF2-40B4-BE49-F238E27FC236}">
              <a16:creationId xmlns:a16="http://schemas.microsoft.com/office/drawing/2014/main" id="{07157C4A-FDF7-4667-B605-DE2394990D1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792709" y="15835083"/>
          <a:ext cx="1065712" cy="443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254000</xdr:colOff>
      <xdr:row>89</xdr:row>
      <xdr:rowOff>163285</xdr:rowOff>
    </xdr:from>
    <xdr:to>
      <xdr:col>32</xdr:col>
      <xdr:colOff>430893</xdr:colOff>
      <xdr:row>89</xdr:row>
      <xdr:rowOff>163285</xdr:rowOff>
    </xdr:to>
    <xdr:cxnSp macro="">
      <xdr:nvCxnSpPr>
        <xdr:cNvPr id="24" name="Straight Connector 11">
          <a:extLst>
            <a:ext uri="{FF2B5EF4-FFF2-40B4-BE49-F238E27FC236}">
              <a16:creationId xmlns:a16="http://schemas.microsoft.com/office/drawing/2014/main" id="{487763FF-9975-42F7-B5FA-3911D732782F}"/>
            </a:ext>
          </a:extLst>
        </xdr:cNvPr>
        <xdr:cNvCxnSpPr/>
      </xdr:nvCxnSpPr>
      <xdr:spPr>
        <a:xfrm>
          <a:off x="11882120" y="16378645"/>
          <a:ext cx="892465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430893</xdr:colOff>
      <xdr:row>89</xdr:row>
      <xdr:rowOff>163284</xdr:rowOff>
    </xdr:from>
    <xdr:to>
      <xdr:col>20</xdr:col>
      <xdr:colOff>444500</xdr:colOff>
      <xdr:row>93</xdr:row>
      <xdr:rowOff>13605</xdr:rowOff>
    </xdr:to>
    <xdr:cxnSp macro="">
      <xdr:nvCxnSpPr>
        <xdr:cNvPr id="25" name="Straight Arrow Connector 13">
          <a:extLst>
            <a:ext uri="{FF2B5EF4-FFF2-40B4-BE49-F238E27FC236}">
              <a16:creationId xmlns:a16="http://schemas.microsoft.com/office/drawing/2014/main" id="{75AFD171-70B8-4424-B9C2-52FB0CA52640}"/>
            </a:ext>
          </a:extLst>
        </xdr:cNvPr>
        <xdr:cNvCxnSpPr/>
      </xdr:nvCxnSpPr>
      <xdr:spPr>
        <a:xfrm flipV="1">
          <a:off x="13308693" y="16378644"/>
          <a:ext cx="13607" cy="49040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417286</xdr:colOff>
      <xdr:row>91</xdr:row>
      <xdr:rowOff>72569</xdr:rowOff>
    </xdr:from>
    <xdr:ext cx="1265464" cy="436786"/>
    <xdr:sp macro="" textlink="">
      <xdr:nvSpPr>
        <xdr:cNvPr id="26" name="TextBox 14">
          <a:extLst>
            <a:ext uri="{FF2B5EF4-FFF2-40B4-BE49-F238E27FC236}">
              <a16:creationId xmlns:a16="http://schemas.microsoft.com/office/drawing/2014/main" id="{CE636931-D78A-4A1E-94C7-7E8B8D3B79F7}"/>
            </a:ext>
          </a:extLst>
        </xdr:cNvPr>
        <xdr:cNvSpPr txBox="1"/>
      </xdr:nvSpPr>
      <xdr:spPr>
        <a:xfrm>
          <a:off x="13295086" y="16607969"/>
          <a:ext cx="1265464"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Malfunction</a:t>
          </a:r>
          <a:r>
            <a:rPr lang="en-US" sz="1100" baseline="0"/>
            <a:t> in the ABS feature</a:t>
          </a:r>
          <a:endParaRPr lang="en-US" sz="1100"/>
        </a:p>
      </xdr:txBody>
    </xdr:sp>
    <xdr:clientData/>
  </xdr:oneCellAnchor>
  <xdr:twoCellAnchor>
    <xdr:from>
      <xdr:col>27</xdr:col>
      <xdr:colOff>553357</xdr:colOff>
      <xdr:row>90</xdr:row>
      <xdr:rowOff>13606</xdr:rowOff>
    </xdr:from>
    <xdr:to>
      <xdr:col>27</xdr:col>
      <xdr:colOff>566964</xdr:colOff>
      <xdr:row>93</xdr:row>
      <xdr:rowOff>31748</xdr:rowOff>
    </xdr:to>
    <xdr:cxnSp macro="">
      <xdr:nvCxnSpPr>
        <xdr:cNvPr id="27" name="Straight Arrow Connector 16">
          <a:extLst>
            <a:ext uri="{FF2B5EF4-FFF2-40B4-BE49-F238E27FC236}">
              <a16:creationId xmlns:a16="http://schemas.microsoft.com/office/drawing/2014/main" id="{3A092858-D070-45F6-9A65-F488A8C047B9}"/>
            </a:ext>
          </a:extLst>
        </xdr:cNvPr>
        <xdr:cNvCxnSpPr/>
      </xdr:nvCxnSpPr>
      <xdr:spPr>
        <a:xfrm flipV="1">
          <a:off x="17805037" y="16388986"/>
          <a:ext cx="13607" cy="4982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xdr:col>
      <xdr:colOff>15306</xdr:colOff>
      <xdr:row>90</xdr:row>
      <xdr:rowOff>127001</xdr:rowOff>
    </xdr:from>
    <xdr:ext cx="3092225" cy="609013"/>
    <xdr:sp macro="" textlink="">
      <xdr:nvSpPr>
        <xdr:cNvPr id="28" name="TextBox 17">
          <a:extLst>
            <a:ext uri="{FF2B5EF4-FFF2-40B4-BE49-F238E27FC236}">
              <a16:creationId xmlns:a16="http://schemas.microsoft.com/office/drawing/2014/main" id="{77217BBB-319B-4443-8F94-F8CFA0239687}"/>
            </a:ext>
          </a:extLst>
        </xdr:cNvPr>
        <xdr:cNvSpPr txBox="1"/>
      </xdr:nvSpPr>
      <xdr:spPr>
        <a:xfrm>
          <a:off x="17891826" y="16502381"/>
          <a:ext cx="3092225"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During a Hard or Slippery Braking event </a:t>
          </a:r>
          <a:r>
            <a:rPr lang="en-US" sz="1100" baseline="0"/>
            <a:t>the effect of the malfunction behavior leads to hazard (loss of vehicle control and longer braking distance)</a:t>
          </a:r>
          <a:endParaRPr lang="en-US" sz="1100"/>
        </a:p>
      </xdr:txBody>
    </xdr:sp>
    <xdr:clientData/>
  </xdr:oneCellAnchor>
  <xdr:twoCellAnchor editAs="oneCell">
    <xdr:from>
      <xdr:col>19</xdr:col>
      <xdr:colOff>412751</xdr:colOff>
      <xdr:row>113</xdr:row>
      <xdr:rowOff>11339</xdr:rowOff>
    </xdr:from>
    <xdr:to>
      <xdr:col>21</xdr:col>
      <xdr:colOff>228783</xdr:colOff>
      <xdr:row>115</xdr:row>
      <xdr:rowOff>133128</xdr:rowOff>
    </xdr:to>
    <xdr:pic>
      <xdr:nvPicPr>
        <xdr:cNvPr id="29" name="Picture 18">
          <a:extLst>
            <a:ext uri="{FF2B5EF4-FFF2-40B4-BE49-F238E27FC236}">
              <a16:creationId xmlns:a16="http://schemas.microsoft.com/office/drawing/2014/main" id="{0DB6DAFE-93C2-41A0-A5A0-8A9472DFDC4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665711" y="20067179"/>
          <a:ext cx="1065712" cy="4418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358321</xdr:colOff>
      <xdr:row>116</xdr:row>
      <xdr:rowOff>102054</xdr:rowOff>
    </xdr:from>
    <xdr:to>
      <xdr:col>32</xdr:col>
      <xdr:colOff>535214</xdr:colOff>
      <xdr:row>116</xdr:row>
      <xdr:rowOff>102054</xdr:rowOff>
    </xdr:to>
    <xdr:cxnSp macro="">
      <xdr:nvCxnSpPr>
        <xdr:cNvPr id="30" name="Straight Connector 19">
          <a:extLst>
            <a:ext uri="{FF2B5EF4-FFF2-40B4-BE49-F238E27FC236}">
              <a16:creationId xmlns:a16="http://schemas.microsoft.com/office/drawing/2014/main" id="{FBB073E4-CEAE-4B08-B185-2D06DA809B8F}"/>
            </a:ext>
          </a:extLst>
        </xdr:cNvPr>
        <xdr:cNvCxnSpPr/>
      </xdr:nvCxnSpPr>
      <xdr:spPr>
        <a:xfrm>
          <a:off x="11986441" y="20637954"/>
          <a:ext cx="892465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426358</xdr:colOff>
      <xdr:row>116</xdr:row>
      <xdr:rowOff>129268</xdr:rowOff>
    </xdr:from>
    <xdr:to>
      <xdr:col>20</xdr:col>
      <xdr:colOff>439965</xdr:colOff>
      <xdr:row>119</xdr:row>
      <xdr:rowOff>142875</xdr:rowOff>
    </xdr:to>
    <xdr:cxnSp macro="">
      <xdr:nvCxnSpPr>
        <xdr:cNvPr id="31" name="Straight Arrow Connector 20">
          <a:extLst>
            <a:ext uri="{FF2B5EF4-FFF2-40B4-BE49-F238E27FC236}">
              <a16:creationId xmlns:a16="http://schemas.microsoft.com/office/drawing/2014/main" id="{2E5DDA40-BBB6-4E3F-B4A5-16ACF931C4A3}"/>
            </a:ext>
          </a:extLst>
        </xdr:cNvPr>
        <xdr:cNvCxnSpPr/>
      </xdr:nvCxnSpPr>
      <xdr:spPr>
        <a:xfrm flipV="1">
          <a:off x="13304158" y="20665168"/>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521607</xdr:colOff>
      <xdr:row>119</xdr:row>
      <xdr:rowOff>61231</xdr:rowOff>
    </xdr:from>
    <xdr:ext cx="1265464" cy="436786"/>
    <xdr:sp macro="" textlink="">
      <xdr:nvSpPr>
        <xdr:cNvPr id="32" name="TextBox 21">
          <a:extLst>
            <a:ext uri="{FF2B5EF4-FFF2-40B4-BE49-F238E27FC236}">
              <a16:creationId xmlns:a16="http://schemas.microsoft.com/office/drawing/2014/main" id="{43E0A052-8103-4FC9-A2BF-A28BFA742934}"/>
            </a:ext>
          </a:extLst>
        </xdr:cNvPr>
        <xdr:cNvSpPr txBox="1"/>
      </xdr:nvSpPr>
      <xdr:spPr>
        <a:xfrm>
          <a:off x="13399407" y="21077191"/>
          <a:ext cx="1265464"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Vehicle driving at high speed</a:t>
          </a:r>
        </a:p>
      </xdr:txBody>
    </xdr:sp>
    <xdr:clientData/>
  </xdr:oneCellAnchor>
  <xdr:twoCellAnchor>
    <xdr:from>
      <xdr:col>24</xdr:col>
      <xdr:colOff>385536</xdr:colOff>
      <xdr:row>116</xdr:row>
      <xdr:rowOff>129268</xdr:rowOff>
    </xdr:from>
    <xdr:to>
      <xdr:col>24</xdr:col>
      <xdr:colOff>399143</xdr:colOff>
      <xdr:row>119</xdr:row>
      <xdr:rowOff>142875</xdr:rowOff>
    </xdr:to>
    <xdr:cxnSp macro="">
      <xdr:nvCxnSpPr>
        <xdr:cNvPr id="33" name="Straight Arrow Connector 23">
          <a:extLst>
            <a:ext uri="{FF2B5EF4-FFF2-40B4-BE49-F238E27FC236}">
              <a16:creationId xmlns:a16="http://schemas.microsoft.com/office/drawing/2014/main" id="{C1F10F15-8B09-467F-B3E8-044BEA16B32B}"/>
            </a:ext>
          </a:extLst>
        </xdr:cNvPr>
        <xdr:cNvCxnSpPr/>
      </xdr:nvCxnSpPr>
      <xdr:spPr>
        <a:xfrm flipV="1">
          <a:off x="15762696" y="20665168"/>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24</xdr:col>
      <xdr:colOff>399141</xdr:colOff>
      <xdr:row>119</xdr:row>
      <xdr:rowOff>38553</xdr:rowOff>
    </xdr:from>
    <xdr:ext cx="1673679" cy="609013"/>
    <xdr:sp macro="" textlink="">
      <xdr:nvSpPr>
        <xdr:cNvPr id="34" name="TextBox 24">
          <a:extLst>
            <a:ext uri="{FF2B5EF4-FFF2-40B4-BE49-F238E27FC236}">
              <a16:creationId xmlns:a16="http://schemas.microsoft.com/office/drawing/2014/main" id="{925AA1A0-2347-4157-938C-90EEEF41A399}"/>
            </a:ext>
          </a:extLst>
        </xdr:cNvPr>
        <xdr:cNvSpPr txBox="1"/>
      </xdr:nvSpPr>
      <xdr:spPr>
        <a:xfrm>
          <a:off x="15776301" y="21054513"/>
          <a:ext cx="1673679"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ABS system engages unintendedly while driving at speed</a:t>
          </a:r>
        </a:p>
      </xdr:txBody>
    </xdr:sp>
    <xdr:clientData/>
  </xdr:oneCellAnchor>
  <xdr:twoCellAnchor>
    <xdr:from>
      <xdr:col>27</xdr:col>
      <xdr:colOff>155917</xdr:colOff>
      <xdr:row>116</xdr:row>
      <xdr:rowOff>115660</xdr:rowOff>
    </xdr:from>
    <xdr:to>
      <xdr:col>27</xdr:col>
      <xdr:colOff>169524</xdr:colOff>
      <xdr:row>119</xdr:row>
      <xdr:rowOff>129267</xdr:rowOff>
    </xdr:to>
    <xdr:cxnSp macro="">
      <xdr:nvCxnSpPr>
        <xdr:cNvPr id="35" name="Straight Arrow Connector 25">
          <a:extLst>
            <a:ext uri="{FF2B5EF4-FFF2-40B4-BE49-F238E27FC236}">
              <a16:creationId xmlns:a16="http://schemas.microsoft.com/office/drawing/2014/main" id="{46A788F4-DF37-49D2-92C3-23203E1A8EF8}"/>
            </a:ext>
          </a:extLst>
        </xdr:cNvPr>
        <xdr:cNvCxnSpPr/>
      </xdr:nvCxnSpPr>
      <xdr:spPr>
        <a:xfrm flipV="1">
          <a:off x="17407597" y="20651560"/>
          <a:ext cx="13607" cy="4936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181995</xdr:colOff>
      <xdr:row>119</xdr:row>
      <xdr:rowOff>24946</xdr:rowOff>
    </xdr:from>
    <xdr:ext cx="1673679" cy="609013"/>
    <xdr:sp macro="" textlink="">
      <xdr:nvSpPr>
        <xdr:cNvPr id="36" name="TextBox 26">
          <a:extLst>
            <a:ext uri="{FF2B5EF4-FFF2-40B4-BE49-F238E27FC236}">
              <a16:creationId xmlns:a16="http://schemas.microsoft.com/office/drawing/2014/main" id="{FDB8A2E8-8C3B-4406-8125-6FE3E7E58E15}"/>
            </a:ext>
          </a:extLst>
        </xdr:cNvPr>
        <xdr:cNvSpPr txBox="1"/>
      </xdr:nvSpPr>
      <xdr:spPr>
        <a:xfrm>
          <a:off x="17433675" y="21040906"/>
          <a:ext cx="1673679"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Hazard occurs immediately as an effect</a:t>
          </a:r>
          <a:r>
            <a:rPr lang="en-US" sz="1100" baseline="0"/>
            <a:t> of malfunction behavior</a:t>
          </a:r>
          <a:endParaRPr lang="en-US" sz="1100"/>
        </a:p>
      </xdr:txBody>
    </xdr:sp>
    <xdr:clientData/>
  </xdr:oneCellAnchor>
  <xdr:twoCellAnchor>
    <xdr:from>
      <xdr:col>25</xdr:col>
      <xdr:colOff>213179</xdr:colOff>
      <xdr:row>83</xdr:row>
      <xdr:rowOff>86176</xdr:rowOff>
    </xdr:from>
    <xdr:to>
      <xdr:col>30</xdr:col>
      <xdr:colOff>281215</xdr:colOff>
      <xdr:row>89</xdr:row>
      <xdr:rowOff>163284</xdr:rowOff>
    </xdr:to>
    <xdr:sp macro="" textlink="">
      <xdr:nvSpPr>
        <xdr:cNvPr id="37" name="Rectangle 27">
          <a:extLst>
            <a:ext uri="{FF2B5EF4-FFF2-40B4-BE49-F238E27FC236}">
              <a16:creationId xmlns:a16="http://schemas.microsoft.com/office/drawing/2014/main" id="{1AE19778-46E3-43CA-A22F-5ADD21A7822E}"/>
            </a:ext>
          </a:extLst>
        </xdr:cNvPr>
        <xdr:cNvSpPr/>
      </xdr:nvSpPr>
      <xdr:spPr>
        <a:xfrm>
          <a:off x="16215179" y="15341416"/>
          <a:ext cx="3192236" cy="1037228"/>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Slippery or Hard Braking </a:t>
          </a:r>
          <a:r>
            <a:rPr lang="en-US" sz="1100">
              <a:solidFill>
                <a:sysClr val="windowText" lastClr="000000"/>
              </a:solidFill>
            </a:rPr>
            <a:t>Event</a:t>
          </a:r>
        </a:p>
      </xdr:txBody>
    </xdr:sp>
    <xdr:clientData/>
  </xdr:twoCellAnchor>
  <xdr:twoCellAnchor>
    <xdr:from>
      <xdr:col>19</xdr:col>
      <xdr:colOff>358321</xdr:colOff>
      <xdr:row>110</xdr:row>
      <xdr:rowOff>24946</xdr:rowOff>
    </xdr:from>
    <xdr:to>
      <xdr:col>28</xdr:col>
      <xdr:colOff>163286</xdr:colOff>
      <xdr:row>116</xdr:row>
      <xdr:rowOff>102053</xdr:rowOff>
    </xdr:to>
    <xdr:sp macro="" textlink="">
      <xdr:nvSpPr>
        <xdr:cNvPr id="38" name="Rectangle 28">
          <a:extLst>
            <a:ext uri="{FF2B5EF4-FFF2-40B4-BE49-F238E27FC236}">
              <a16:creationId xmlns:a16="http://schemas.microsoft.com/office/drawing/2014/main" id="{A154BB2E-5239-4914-9B16-13B1D5F9A5CD}"/>
            </a:ext>
          </a:extLst>
        </xdr:cNvPr>
        <xdr:cNvSpPr/>
      </xdr:nvSpPr>
      <xdr:spPr>
        <a:xfrm>
          <a:off x="12611281" y="19600726"/>
          <a:ext cx="5428525" cy="1037227"/>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Driving at speed</a:t>
          </a:r>
        </a:p>
      </xdr:txBody>
    </xdr:sp>
    <xdr:clientData/>
  </xdr:twoCellAnchor>
  <xdr:twoCellAnchor editAs="oneCell">
    <xdr:from>
      <xdr:col>25</xdr:col>
      <xdr:colOff>452438</xdr:colOff>
      <xdr:row>85</xdr:row>
      <xdr:rowOff>98656</xdr:rowOff>
    </xdr:from>
    <xdr:to>
      <xdr:col>26</xdr:col>
      <xdr:colOff>434530</xdr:colOff>
      <xdr:row>89</xdr:row>
      <xdr:rowOff>36744</xdr:rowOff>
    </xdr:to>
    <xdr:pic>
      <xdr:nvPicPr>
        <xdr:cNvPr id="39" name="Picture 38" descr="See the source image">
          <a:extLst>
            <a:ext uri="{FF2B5EF4-FFF2-40B4-BE49-F238E27FC236}">
              <a16:creationId xmlns:a16="http://schemas.microsoft.com/office/drawing/2014/main" id="{29DDDF1A-B1D4-4C55-8A0D-8DF31B51AD4B}"/>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6454438" y="15673936"/>
          <a:ext cx="606932" cy="5781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511969</xdr:colOff>
      <xdr:row>85</xdr:row>
      <xdr:rowOff>77999</xdr:rowOff>
    </xdr:from>
    <xdr:to>
      <xdr:col>30</xdr:col>
      <xdr:colOff>174307</xdr:colOff>
      <xdr:row>89</xdr:row>
      <xdr:rowOff>92463</xdr:rowOff>
    </xdr:to>
    <xdr:pic>
      <xdr:nvPicPr>
        <xdr:cNvPr id="40" name="Picture 39" descr="See the source image">
          <a:extLst>
            <a:ext uri="{FF2B5EF4-FFF2-40B4-BE49-F238E27FC236}">
              <a16:creationId xmlns:a16="http://schemas.microsoft.com/office/drawing/2014/main" id="{3C633EC2-C411-422B-AA01-49FDA71DE9DE}"/>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7763649" y="15653279"/>
          <a:ext cx="1529238" cy="6488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26</xdr:col>
      <xdr:colOff>441551</xdr:colOff>
      <xdr:row>86</xdr:row>
      <xdr:rowOff>97408</xdr:rowOff>
    </xdr:from>
    <xdr:ext cx="725262" cy="263184"/>
    <xdr:sp macro="" textlink="">
      <xdr:nvSpPr>
        <xdr:cNvPr id="41" name="TextBox 17">
          <a:extLst>
            <a:ext uri="{FF2B5EF4-FFF2-40B4-BE49-F238E27FC236}">
              <a16:creationId xmlns:a16="http://schemas.microsoft.com/office/drawing/2014/main" id="{A671C14A-3B02-4228-9A0A-44EDB33CF258}"/>
            </a:ext>
          </a:extLst>
        </xdr:cNvPr>
        <xdr:cNvSpPr txBox="1"/>
      </xdr:nvSpPr>
      <xdr:spPr>
        <a:xfrm>
          <a:off x="17068391" y="15832708"/>
          <a:ext cx="725262" cy="2631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And/Or</a:t>
          </a:r>
        </a:p>
      </xdr:txBody>
    </xdr:sp>
    <xdr:clientData/>
  </xdr:oneCellAnchor>
  <xdr:twoCellAnchor>
    <xdr:from>
      <xdr:col>26</xdr:col>
      <xdr:colOff>261938</xdr:colOff>
      <xdr:row>110</xdr:row>
      <xdr:rowOff>142876</xdr:rowOff>
    </xdr:from>
    <xdr:to>
      <xdr:col>28</xdr:col>
      <xdr:colOff>119062</xdr:colOff>
      <xdr:row>116</xdr:row>
      <xdr:rowOff>47625</xdr:rowOff>
    </xdr:to>
    <xdr:grpSp>
      <xdr:nvGrpSpPr>
        <xdr:cNvPr id="42" name="Group 41">
          <a:extLst>
            <a:ext uri="{FF2B5EF4-FFF2-40B4-BE49-F238E27FC236}">
              <a16:creationId xmlns:a16="http://schemas.microsoft.com/office/drawing/2014/main" id="{3FF4F5E1-FA4B-4777-AFA7-2B71788F7008}"/>
            </a:ext>
          </a:extLst>
        </xdr:cNvPr>
        <xdr:cNvGrpSpPr/>
      </xdr:nvGrpSpPr>
      <xdr:grpSpPr>
        <a:xfrm>
          <a:off x="16549688" y="19914055"/>
          <a:ext cx="1081767" cy="884463"/>
          <a:chOff x="21990845" y="13489782"/>
          <a:chExt cx="5941218" cy="6096000"/>
        </a:xfrm>
      </xdr:grpSpPr>
      <xdr:pic>
        <xdr:nvPicPr>
          <xdr:cNvPr id="43" name="Picture 42" descr="See the source image">
            <a:extLst>
              <a:ext uri="{FF2B5EF4-FFF2-40B4-BE49-F238E27FC236}">
                <a16:creationId xmlns:a16="http://schemas.microsoft.com/office/drawing/2014/main" id="{323B92D8-AD41-4CBA-8F2B-79C542A99A12}"/>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990845" y="13489782"/>
            <a:ext cx="5941218" cy="6096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4" name="Arrow: Curved Right 43">
            <a:extLst>
              <a:ext uri="{FF2B5EF4-FFF2-40B4-BE49-F238E27FC236}">
                <a16:creationId xmlns:a16="http://schemas.microsoft.com/office/drawing/2014/main" id="{CD846E40-122B-4ABF-B841-16CBE7A09726}"/>
              </a:ext>
            </a:extLst>
          </xdr:cNvPr>
          <xdr:cNvSpPr/>
        </xdr:nvSpPr>
        <xdr:spPr>
          <a:xfrm rot="5400000">
            <a:off x="24705469" y="15323345"/>
            <a:ext cx="678653" cy="1178721"/>
          </a:xfrm>
          <a:prstGeom prst="curved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editAs="oneCell">
    <xdr:from>
      <xdr:col>23</xdr:col>
      <xdr:colOff>557892</xdr:colOff>
      <xdr:row>110</xdr:row>
      <xdr:rowOff>122465</xdr:rowOff>
    </xdr:from>
    <xdr:to>
      <xdr:col>25</xdr:col>
      <xdr:colOff>207360</xdr:colOff>
      <xdr:row>116</xdr:row>
      <xdr:rowOff>18355</xdr:rowOff>
    </xdr:to>
    <xdr:pic>
      <xdr:nvPicPr>
        <xdr:cNvPr id="45" name="Picture 44" descr="Slippery When Wet (Symbol) Surface &amp;amp; Driving Conditions Sign FRW681">
          <a:extLst>
            <a:ext uri="{FF2B5EF4-FFF2-40B4-BE49-F238E27FC236}">
              <a16:creationId xmlns:a16="http://schemas.microsoft.com/office/drawing/2014/main" id="{3D811453-E409-45E1-B993-E4EE1BD69304}"/>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5310212" y="19698245"/>
          <a:ext cx="899148" cy="8560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zureford.sharepoint.com/Users/dhatebur/Documents/Denis/Steuern/2019/FFSD02_HazardAnalysisAndRiskAssessment_Template%20FTTI%20Propo_FS-67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geng1/AppData/Local/Microsoft/Windows/INetCache/Content.Outlook/5R4XB27J/FFSD02_HazardAnalysisAndRiskAssessment_DLN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zureford.sharepoint.com/sites/GlobalFunctionalSafety/Released%20Templates%20Guidelines%20and%20Examples/Templates/FFSD02_HazardAnalysisAndRiskAssessment_Template%20FTTI_Proposal_FS-679_Finaliz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geng1/AppData/Local/Microsoft/Windows/INetCache/Content.Outlook/5R4XB27J/FFSD02_HazardAnalysisAndRiskAssessment_Mode%20C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Introduction"/>
      <sheetName val="Change Control"/>
      <sheetName val="Hazard Dictoinary"/>
      <sheetName val="Situation Dictionary"/>
      <sheetName val="1 - Guide Words"/>
      <sheetName val="2 - Assumptions"/>
      <sheetName val="3 - Hazard A. &amp; Risk Assessment"/>
      <sheetName val="4 - SGs"/>
      <sheetName val="5 - Verification Review"/>
      <sheetName val="6 - Confirmation Review"/>
      <sheetName val="Definitions etc."/>
      <sheetName val="Severity"/>
      <sheetName val="Exposure"/>
      <sheetName val="Controllability"/>
      <sheetName val="ASIL Calculation"/>
      <sheetName val="Macros"/>
      <sheetName val="FTTI Reference Tables (hide me)"/>
    </sheetNames>
    <sheetDataSet>
      <sheetData sheetId="0" refreshError="1"/>
      <sheetData sheetId="1" refreshError="1"/>
      <sheetData sheetId="2" refreshError="1"/>
      <sheetData sheetId="3" refreshError="1"/>
      <sheetData sheetId="4">
        <row r="2">
          <cell r="C2" t="str">
            <v>Any location / Not relevant (S01-000001/B;2)</v>
          </cell>
        </row>
        <row r="3">
          <cell r="C3" t="str">
            <v>Parking (S01-000003/A;2)</v>
          </cell>
        </row>
        <row r="4">
          <cell r="C4" t="str">
            <v>Low speed road (S01-000007/A;3)</v>
          </cell>
        </row>
        <row r="5">
          <cell r="C5" t="str">
            <v>Medium speed road (S01-000008/B;1)</v>
          </cell>
        </row>
        <row r="6">
          <cell r="C6" t="str">
            <v>High speed road (S01-000010/B;1)</v>
          </cell>
        </row>
        <row r="7">
          <cell r="C7" t="str">
            <v>Off-road (S01-000017/A;3)</v>
          </cell>
        </row>
        <row r="8">
          <cell r="C8" t="str">
            <v>Intersection (S01-000011/A;2)</v>
          </cell>
        </row>
        <row r="9">
          <cell r="C9" t="str">
            <v>Car wash (S01-000196/A;1)</v>
          </cell>
        </row>
        <row r="10">
          <cell r="C10" t="str">
            <v>Remote (S01-000178/A;1)</v>
          </cell>
        </row>
        <row r="11">
          <cell r="C11" t="str">
            <v>Vehicle on transport (S01-000195/A;1)</v>
          </cell>
        </row>
        <row r="12">
          <cell r="C12" t="str">
            <v>Service (S01-000197/A;1)</v>
          </cell>
        </row>
        <row r="16">
          <cell r="C16" t="str">
            <v>Any traffic / Not relevant (S01-000025/A;4)</v>
          </cell>
        </row>
        <row r="17">
          <cell r="C17" t="str">
            <v>Traffic: free flow (S01-000026/A;2)</v>
          </cell>
        </row>
        <row r="18">
          <cell r="C18" t="str">
            <v>Traffic: synchronized flow (S01-000027/A;2)</v>
          </cell>
        </row>
        <row r="19">
          <cell r="C19" t="str">
            <v>Traffic: wide moving jam (S01-000028/A;2)</v>
          </cell>
        </row>
        <row r="20">
          <cell r="C20" t="str">
            <v>High speed difference (S01-000029/A;2)</v>
          </cell>
        </row>
        <row r="21">
          <cell r="C21" t="str">
            <v>Driver in the vehicle (S01-000041/A;2)</v>
          </cell>
        </row>
        <row r="22">
          <cell r="C22" t="str">
            <v>Passenger(s) in vehicle (S01-000042/A;2)</v>
          </cell>
        </row>
        <row r="23">
          <cell r="C23" t="str">
            <v>Non-motorist around or in path of the vehicle (S01-000044/A;2)</v>
          </cell>
        </row>
        <row r="29">
          <cell r="C29" t="str">
            <v>Any road conditions / Not relevant (S01-000052/A;3)</v>
          </cell>
        </row>
        <row r="30">
          <cell r="C30" t="str">
            <v>High traction (S01-000053/A;2)</v>
          </cell>
        </row>
        <row r="31">
          <cell r="C31" t="str">
            <v>Medium traction (S01-000054/A;2)</v>
          </cell>
        </row>
        <row r="32">
          <cell r="C32" t="str">
            <v>Low traction (S01-000055/A;2)</v>
          </cell>
        </row>
        <row r="33">
          <cell r="C33" t="str">
            <v>Mixed traction (S01-000056/A;2)</v>
          </cell>
        </row>
        <row r="34">
          <cell r="C34" t="str">
            <v>Level (S01-000060/A;2)</v>
          </cell>
        </row>
        <row r="35">
          <cell r="C35" t="str">
            <v>Grade (slope) (S01-000061/A;2)</v>
          </cell>
        </row>
        <row r="36">
          <cell r="C36" t="str">
            <v>Rough road (S01-000200/A;1)</v>
          </cell>
        </row>
        <row r="37">
          <cell r="C37" t="str">
            <v>Bank / Side slope (S01-000194/A;1)</v>
          </cell>
        </row>
        <row r="41">
          <cell r="C41" t="str">
            <v>Any environment condition / Not relevant (S01-000076/A;3)</v>
          </cell>
        </row>
        <row r="42">
          <cell r="C42" t="str">
            <v>Day time (S01-000078/A;2)</v>
          </cell>
        </row>
        <row r="43">
          <cell r="C43" t="str">
            <v>Night time (S01-000079/A;3)</v>
          </cell>
        </row>
        <row r="44">
          <cell r="C44" t="str">
            <v>Reduced visibility (S01-000083/A;3)</v>
          </cell>
        </row>
        <row r="45">
          <cell r="C45" t="str">
            <v>High or low temperature (S01-000179/A;1)</v>
          </cell>
        </row>
        <row r="46">
          <cell r="C46" t="str">
            <v>Confined surroundings (S01-000199/A;2)</v>
          </cell>
        </row>
        <row r="47">
          <cell r="C47" t="str">
            <v>Object on or beside the road (S01-000085/A;2)</v>
          </cell>
        </row>
        <row r="51">
          <cell r="C51" t="str">
            <v>Any vehicle usage / Not relevant (S01-000086/B;2)</v>
          </cell>
        </row>
        <row r="52">
          <cell r="C52" t="str">
            <v>Ignition off (S01-000187/A;1)</v>
          </cell>
        </row>
        <row r="53">
          <cell r="C53" t="str">
            <v>Ignition on (S01-000188/A;1)</v>
          </cell>
        </row>
        <row r="54">
          <cell r="C54" t="str">
            <v>Engine shutdown (S01-000191/A;1)</v>
          </cell>
        </row>
        <row r="55">
          <cell r="C55" t="str">
            <v>Engine running (S01-000189/A;1)</v>
          </cell>
        </row>
        <row r="56">
          <cell r="C56" t="str">
            <v>Engine Starting (S01-000190/A;1)</v>
          </cell>
        </row>
        <row r="57">
          <cell r="C57" t="str">
            <v>In park (S01-000192/A;1)</v>
          </cell>
        </row>
        <row r="58">
          <cell r="C58" t="str">
            <v>In neutral (S01-000176/A;2)</v>
          </cell>
        </row>
        <row r="59">
          <cell r="C59" t="str">
            <v>In drive or gear (S01-000177/A;2)</v>
          </cell>
        </row>
        <row r="60">
          <cell r="C60" t="str">
            <v>In reverse (S01-000186/A;1)</v>
          </cell>
        </row>
        <row r="61">
          <cell r="C61" t="str">
            <v>Shifting gears / Shifting range (S01-000138/A;2)</v>
          </cell>
        </row>
        <row r="62">
          <cell r="C62" t="str">
            <v>Vehicle is stationary (S01-000193/A;1)</v>
          </cell>
        </row>
        <row r="63">
          <cell r="C63" t="str">
            <v>Driving at speed (S01-000130/A;3)</v>
          </cell>
        </row>
        <row r="64">
          <cell r="C64" t="str">
            <v>Rearward driving (S01-000159/A;2)</v>
          </cell>
        </row>
        <row r="65">
          <cell r="C65" t="str">
            <v>Rolling (S01-000125/A;2)</v>
          </cell>
        </row>
        <row r="66">
          <cell r="C66" t="str">
            <v>Vehicle launch (S01-000118/A;2)</v>
          </cell>
        </row>
        <row r="67">
          <cell r="C67" t="str">
            <v>Accelerating (S01-000132/A;2)</v>
          </cell>
        </row>
        <row r="68">
          <cell r="C68" t="str">
            <v>Decelerating (S01-000133/A;2)</v>
          </cell>
        </row>
        <row r="69">
          <cell r="C69" t="str">
            <v>Braking (S01-000134/A;2)</v>
          </cell>
        </row>
        <row r="70">
          <cell r="C70" t="str">
            <v>Applied park brake (S01-000181/A;1)</v>
          </cell>
        </row>
        <row r="71">
          <cell r="C71" t="str">
            <v>Steering driving straight (S01-000182/A;1)</v>
          </cell>
        </row>
        <row r="72">
          <cell r="C72" t="str">
            <v>Steering while turning (S01-000137/A;2)</v>
          </cell>
        </row>
        <row r="73">
          <cell r="C73" t="str">
            <v>Dynamic driving (S01-000156/A;2)</v>
          </cell>
        </row>
        <row r="74">
          <cell r="C74" t="str">
            <v>Traction control event (S01-000183/A;1)</v>
          </cell>
        </row>
        <row r="75">
          <cell r="C75" t="str">
            <v>Anti-lock control event (S01-000184/A;1)</v>
          </cell>
        </row>
        <row r="76">
          <cell r="C76" t="str">
            <v>Electronic stability control (ESC) event (S01-000109/A;2)</v>
          </cell>
        </row>
        <row r="77">
          <cell r="C77" t="str">
            <v>Roll stability control event (S01-000185/A;1)</v>
          </cell>
        </row>
        <row r="78">
          <cell r="C78" t="str">
            <v>Accident (S01-000107/A;2)</v>
          </cell>
        </row>
        <row r="79">
          <cell r="C79" t="str">
            <v>Fueling / Charging (S01-000180/A;1)</v>
          </cell>
        </row>
        <row r="80">
          <cell r="C80" t="str">
            <v>Being Towed (S01-000128/A;2)</v>
          </cell>
        </row>
        <row r="81">
          <cell r="C81" t="str">
            <v>Trailer / Towing (S01-000160/A;2)</v>
          </cell>
        </row>
        <row r="82">
          <cell r="C82" t="str">
            <v>Heavily loaded (S01-000163/A;2)</v>
          </cell>
        </row>
        <row r="83">
          <cell r="C83" t="str">
            <v>Overtaking (S01-000146/A;2)</v>
          </cell>
        </row>
        <row r="84">
          <cell r="C84" t="str">
            <v>Inside operational design domain (S01-000221/A;1)</v>
          </cell>
        </row>
        <row r="85">
          <cell r="C85" t="str">
            <v>Outside operational design domain (S01-000222/A;1)</v>
          </cell>
        </row>
      </sheetData>
      <sheetData sheetId="5">
        <row r="5">
          <cell r="B5" t="str">
            <v>No</v>
          </cell>
        </row>
        <row r="6">
          <cell r="B6" t="str">
            <v>Unintended</v>
          </cell>
        </row>
        <row r="7">
          <cell r="B7" t="str">
            <v>Early</v>
          </cell>
        </row>
        <row r="8">
          <cell r="B8" t="str">
            <v>Late</v>
          </cell>
        </row>
        <row r="9">
          <cell r="B9" t="str">
            <v>More</v>
          </cell>
        </row>
        <row r="10">
          <cell r="B10" t="str">
            <v>Less</v>
          </cell>
        </row>
        <row r="11">
          <cell r="B11" t="str">
            <v>Inverted</v>
          </cell>
        </row>
        <row r="12">
          <cell r="B12" t="str">
            <v>Intermittent</v>
          </cell>
        </row>
      </sheetData>
      <sheetData sheetId="6" refreshError="1"/>
      <sheetData sheetId="7">
        <row r="2">
          <cell r="Q2" t="str">
            <v>S</v>
          </cell>
          <cell r="S2" t="str">
            <v>E</v>
          </cell>
          <cell r="U2" t="str">
            <v>C</v>
          </cell>
        </row>
        <row r="3">
          <cell r="Q3" t="str">
            <v>Category</v>
          </cell>
          <cell r="S3" t="str">
            <v>Category</v>
          </cell>
          <cell r="U3" t="str">
            <v>Category</v>
          </cell>
        </row>
      </sheetData>
      <sheetData sheetId="8" refreshError="1"/>
      <sheetData sheetId="9" refreshError="1"/>
      <sheetData sheetId="10" refreshError="1"/>
      <sheetData sheetId="11" refreshError="1"/>
      <sheetData sheetId="12" refreshError="1"/>
      <sheetData sheetId="13" refreshError="1"/>
      <sheetData sheetId="14" refreshError="1"/>
      <sheetData sheetId="15">
        <row r="3">
          <cell r="E3" t="str">
            <v>C0</v>
          </cell>
          <cell r="F3" t="str">
            <v>C1</v>
          </cell>
          <cell r="G3" t="str">
            <v>C2</v>
          </cell>
          <cell r="H3" t="str">
            <v>C3</v>
          </cell>
        </row>
        <row r="4">
          <cell r="D4" t="str">
            <v>S0E0</v>
          </cell>
        </row>
        <row r="5">
          <cell r="D5" t="str">
            <v>S0E1</v>
          </cell>
        </row>
        <row r="6">
          <cell r="D6" t="str">
            <v>S0E2</v>
          </cell>
        </row>
        <row r="7">
          <cell r="D7" t="str">
            <v>S0E3</v>
          </cell>
        </row>
        <row r="8">
          <cell r="D8" t="str">
            <v>S0E4</v>
          </cell>
        </row>
        <row r="9">
          <cell r="D9" t="str">
            <v>S1E0</v>
          </cell>
          <cell r="F9" t="str">
            <v>QM</v>
          </cell>
          <cell r="G9" t="str">
            <v>QM</v>
          </cell>
          <cell r="H9" t="str">
            <v>QM</v>
          </cell>
        </row>
        <row r="10">
          <cell r="D10" t="str">
            <v>S1E1</v>
          </cell>
          <cell r="F10" t="str">
            <v>QM</v>
          </cell>
          <cell r="G10" t="str">
            <v>QM</v>
          </cell>
          <cell r="H10" t="str">
            <v>QM</v>
          </cell>
        </row>
        <row r="11">
          <cell r="D11" t="str">
            <v>S1E2</v>
          </cell>
          <cell r="F11" t="str">
            <v>QM</v>
          </cell>
          <cell r="G11" t="str">
            <v>QM</v>
          </cell>
          <cell r="H11" t="str">
            <v>QM</v>
          </cell>
        </row>
        <row r="12">
          <cell r="D12" t="str">
            <v>S1E3</v>
          </cell>
          <cell r="F12" t="str">
            <v>QM</v>
          </cell>
          <cell r="G12" t="str">
            <v>QM</v>
          </cell>
          <cell r="H12" t="str">
            <v>A</v>
          </cell>
        </row>
        <row r="13">
          <cell r="D13" t="str">
            <v>S1E4</v>
          </cell>
          <cell r="F13" t="str">
            <v>QM</v>
          </cell>
          <cell r="G13" t="str">
            <v>A</v>
          </cell>
          <cell r="H13" t="str">
            <v>B</v>
          </cell>
        </row>
        <row r="14">
          <cell r="D14" t="str">
            <v>S2E0</v>
          </cell>
          <cell r="F14" t="str">
            <v>QM</v>
          </cell>
          <cell r="G14" t="str">
            <v>QM</v>
          </cell>
          <cell r="H14" t="str">
            <v>QM</v>
          </cell>
        </row>
        <row r="15">
          <cell r="D15" t="str">
            <v>S2E1</v>
          </cell>
          <cell r="F15" t="str">
            <v>QM</v>
          </cell>
          <cell r="G15" t="str">
            <v>QM</v>
          </cell>
          <cell r="H15" t="str">
            <v>QM</v>
          </cell>
        </row>
        <row r="16">
          <cell r="D16" t="str">
            <v>S2E2</v>
          </cell>
          <cell r="F16" t="str">
            <v>QM</v>
          </cell>
          <cell r="G16" t="str">
            <v>QM</v>
          </cell>
          <cell r="H16" t="str">
            <v>A</v>
          </cell>
        </row>
        <row r="17">
          <cell r="D17" t="str">
            <v>S2E3</v>
          </cell>
          <cell r="F17" t="str">
            <v>QM</v>
          </cell>
          <cell r="G17" t="str">
            <v>A</v>
          </cell>
          <cell r="H17" t="str">
            <v>B</v>
          </cell>
        </row>
        <row r="18">
          <cell r="D18" t="str">
            <v>S2E4</v>
          </cell>
          <cell r="F18" t="str">
            <v>A</v>
          </cell>
          <cell r="G18" t="str">
            <v>B</v>
          </cell>
          <cell r="H18" t="str">
            <v>C</v>
          </cell>
        </row>
        <row r="19">
          <cell r="D19" t="str">
            <v>S3E0</v>
          </cell>
          <cell r="F19" t="str">
            <v>QM</v>
          </cell>
          <cell r="G19" t="str">
            <v>QM</v>
          </cell>
          <cell r="H19" t="str">
            <v>QM</v>
          </cell>
        </row>
        <row r="20">
          <cell r="D20" t="str">
            <v>S3E1</v>
          </cell>
          <cell r="F20" t="str">
            <v>QM</v>
          </cell>
          <cell r="G20" t="str">
            <v>QM</v>
          </cell>
          <cell r="H20" t="str">
            <v>A</v>
          </cell>
        </row>
        <row r="21">
          <cell r="D21" t="str">
            <v>S3E2</v>
          </cell>
          <cell r="F21" t="str">
            <v>QM</v>
          </cell>
          <cell r="G21" t="str">
            <v>A</v>
          </cell>
          <cell r="H21" t="str">
            <v>B</v>
          </cell>
        </row>
        <row r="22">
          <cell r="D22" t="str">
            <v>S3E3</v>
          </cell>
          <cell r="F22" t="str">
            <v>A</v>
          </cell>
          <cell r="G22" t="str">
            <v>B</v>
          </cell>
          <cell r="H22" t="str">
            <v>C</v>
          </cell>
        </row>
        <row r="23">
          <cell r="D23" t="str">
            <v>S3E4</v>
          </cell>
          <cell r="F23" t="str">
            <v>B</v>
          </cell>
          <cell r="G23" t="str">
            <v>C</v>
          </cell>
          <cell r="H23" t="str">
            <v>D</v>
          </cell>
        </row>
      </sheetData>
      <sheetData sheetId="16" refreshError="1"/>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Introduction"/>
      <sheetName val="Change Control"/>
      <sheetName val="Situation Dictionary"/>
      <sheetName val="Hazard Dictionary"/>
      <sheetName val="1 - Guide Words"/>
      <sheetName val="2 - Assumptions"/>
      <sheetName val="3 - Hazard A. &amp; Risk Assessment"/>
      <sheetName val="4 - SGs"/>
      <sheetName val="5 - Verification Review"/>
      <sheetName val="6 - Confirmation Review"/>
      <sheetName val="Definitions etc."/>
      <sheetName val="Severity"/>
      <sheetName val="Exposure"/>
      <sheetName val="Controllability"/>
      <sheetName val="ASIL Calculation"/>
      <sheetName val="Macros"/>
      <sheetName val="FTTI Reference Tables (hide 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 Tables (hide me)"/>
      <sheetName val="Cover Page"/>
      <sheetName val="Introduction"/>
      <sheetName val="Change Control"/>
      <sheetName val="Hazard Dictionary"/>
      <sheetName val="Situation Dictionary"/>
      <sheetName val="1 - Guide Words"/>
      <sheetName val="2 - Assumptions"/>
      <sheetName val="3 - Hazard A. &amp; Risk Assessment"/>
      <sheetName val="4 - SGs"/>
      <sheetName val="5 - Verification Review"/>
      <sheetName val="6 - Confirmation Review"/>
      <sheetName val="Definitions etc."/>
      <sheetName val="Severity"/>
      <sheetName val="Exposure"/>
      <sheetName val="Controllability"/>
      <sheetName val="ASIL Calculation"/>
      <sheetName val="Macros"/>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4 - SG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Functional%20Safety%20FAQ%20Wiki%20Page\Functional%20Safety%20Team.aspx"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3.bin"/></Relationships>
</file>

<file path=xl/worksheets/_rels/sheet2.xml.rels><?xml version="1.0" encoding="UTF-8" standalone="yes"?>
<Relationships xmlns="http://schemas.openxmlformats.org/package/2006/relationships"><Relationship Id="rId3" Type="http://schemas.openxmlformats.org/officeDocument/2006/relationships/hyperlink" Target="../../../Pages/default.aspx" TargetMode="Externa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printerSettings" Target="../printerSettings/printerSettings6.bin"/><Relationship Id="rId4" Type="http://schemas.openxmlformats.org/officeDocument/2006/relationships/hyperlink" Target="https://github.ford.com/SYNC-4-0/APIM_CIM/tree/master/02_Sepcification/02_Ford_Spec%20Confirmed/CustomerFacing%20Section/Mode%20Card/PRD"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mailto:yzhan529@ford.com"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vmlDrawing" Target="../drawings/vmlDrawing2.vml"/><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8" Type="http://schemas.openxmlformats.org/officeDocument/2006/relationships/hyperlink" Target="https://en.wikipedia.org/w/index.php?title=Three-phase_traffic_theory" TargetMode="External"/><Relationship Id="rId3" Type="http://schemas.openxmlformats.org/officeDocument/2006/relationships/hyperlink" Target="https://en.wikipedia.org/w/index.php?title=Three-phase_traffic_theoryFollowing%20traffic,%20critical%20distance%20between%20both%20vehicles" TargetMode="External"/><Relationship Id="rId7" Type="http://schemas.openxmlformats.org/officeDocument/2006/relationships/hyperlink" Target="https://en.wikipedia.org/w/index.php?title=Three-phase_traffic_theoryTraffic%20congestionHeavy%20speed%20difference" TargetMode="Externa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hyperlink" Target="https://en.wikipedia.org/w/index.php?title=Three-phase_traffic_theory" TargetMode="External"/><Relationship Id="rId5" Type="http://schemas.openxmlformats.org/officeDocument/2006/relationships/hyperlink" Target="https://en.wikipedia.org/w/index.php?title=Three-phase_traffic_theory" TargetMode="External"/><Relationship Id="rId10" Type="http://schemas.openxmlformats.org/officeDocument/2006/relationships/vmlDrawing" Target="../drawings/vmlDrawing3.vml"/><Relationship Id="rId4" Type="http://schemas.openxmlformats.org/officeDocument/2006/relationships/hyperlink" Target="https://en.wikipedia.org/w/index.php?title=Three-phase_traffic_theoryTraffic%20congestionHeavy%20speed%20difference" TargetMode="External"/><Relationship Id="rId9"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vmlDrawing" Target="../drawings/vmlDrawing5.vml"/><Relationship Id="rId4"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0.xml.rels><?xml version="1.0" encoding="UTF-8" standalone="yes"?>
<Relationships xmlns="http://schemas.openxmlformats.org/package/2006/relationships"><Relationship Id="rId3" Type="http://schemas.openxmlformats.org/officeDocument/2006/relationships/hyperlink" Target="../../../Functional%20Safety%20FAQ%20Wiki%20Page/Verification%20Review%20Process.aspx" TargetMode="Externa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5" Type="http://schemas.openxmlformats.org/officeDocument/2006/relationships/vmlDrawing" Target="../drawings/vmlDrawing6.vml"/><Relationship Id="rId4" Type="http://schemas.openxmlformats.org/officeDocument/2006/relationships/printerSettings" Target="../printerSettings/printerSettings3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hyperlink" Target="../../../Functional%20Safety%20FAQ%20Wiki%20Page/Confirmation%20Review%20Process.aspx"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4"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5" Type="http://schemas.openxmlformats.org/officeDocument/2006/relationships/vmlDrawing" Target="../drawings/vmlDrawing8.vml"/><Relationship Id="rId4"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4"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43.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4"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46.bin"/><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indexed="9"/>
  </sheetPr>
  <dimension ref="A1:D25"/>
  <sheetViews>
    <sheetView zoomScale="80" zoomScaleNormal="80" workbookViewId="0">
      <selection activeCell="B3" sqref="B3:D7"/>
    </sheetView>
  </sheetViews>
  <sheetFormatPr defaultColWidth="11.42578125" defaultRowHeight="12.75"/>
  <cols>
    <col min="1" max="1" width="12.7109375" customWidth="1"/>
    <col min="2" max="2" width="31.28515625" customWidth="1"/>
    <col min="3" max="3" width="34.85546875" customWidth="1"/>
    <col min="4" max="4" width="12.7109375" customWidth="1"/>
    <col min="5" max="5" width="4.5703125" customWidth="1"/>
  </cols>
  <sheetData>
    <row r="1" spans="1:4">
      <c r="A1" s="37" t="s">
        <v>0</v>
      </c>
      <c r="B1" s="181"/>
      <c r="C1" s="181"/>
      <c r="D1" s="181"/>
    </row>
    <row r="2" spans="1:4" ht="10.5" customHeight="1">
      <c r="A2" s="49"/>
      <c r="B2" s="50"/>
      <c r="C2" s="50"/>
      <c r="D2" s="49"/>
    </row>
    <row r="3" spans="1:4" ht="90" customHeight="1">
      <c r="A3" s="49" t="s">
        <v>0</v>
      </c>
      <c r="B3" s="49" t="s">
        <v>0</v>
      </c>
      <c r="C3" s="49"/>
      <c r="D3" s="49"/>
    </row>
    <row r="4" spans="1:4" ht="20.25">
      <c r="A4" s="261"/>
      <c r="B4" s="349"/>
      <c r="C4" s="349"/>
      <c r="D4" s="261"/>
    </row>
    <row r="5" spans="1:4" ht="20.25">
      <c r="A5" s="261"/>
      <c r="B5" s="261"/>
      <c r="C5" s="261"/>
      <c r="D5" s="261"/>
    </row>
    <row r="6" spans="1:4" ht="20.25">
      <c r="A6" s="261"/>
      <c r="B6" s="350" t="s">
        <v>1</v>
      </c>
      <c r="C6" s="350"/>
      <c r="D6" s="261"/>
    </row>
    <row r="7" spans="1:4" ht="144.75" customHeight="1">
      <c r="A7" s="30"/>
      <c r="B7" s="30"/>
      <c r="C7" s="30"/>
      <c r="D7" s="30"/>
    </row>
    <row r="8" spans="1:4" ht="35.1" customHeight="1">
      <c r="A8" s="44" t="s">
        <v>2</v>
      </c>
      <c r="B8" s="351" t="s">
        <v>783</v>
      </c>
      <c r="C8" s="351"/>
      <c r="D8" s="51"/>
    </row>
    <row r="9" spans="1:4" ht="47.25" customHeight="1">
      <c r="A9" s="246" t="s">
        <v>3</v>
      </c>
      <c r="B9" s="352" t="s">
        <v>785</v>
      </c>
      <c r="C9" s="352"/>
      <c r="D9" s="247"/>
    </row>
    <row r="10" spans="1:4" s="181" customFormat="1" ht="47.25" customHeight="1">
      <c r="A10" s="248" t="s">
        <v>4</v>
      </c>
      <c r="B10" s="353" t="s">
        <v>784</v>
      </c>
      <c r="C10" s="354"/>
      <c r="D10" s="247"/>
    </row>
    <row r="11" spans="1:4" ht="35.1" customHeight="1">
      <c r="A11" s="44" t="s">
        <v>5</v>
      </c>
      <c r="B11" s="348">
        <v>0.2</v>
      </c>
      <c r="C11" s="348"/>
      <c r="D11" s="44"/>
    </row>
    <row r="12" spans="1:4" ht="48" customHeight="1">
      <c r="A12" s="44" t="s">
        <v>555</v>
      </c>
      <c r="B12" s="348" t="s">
        <v>749</v>
      </c>
      <c r="C12" s="348"/>
      <c r="D12" s="34"/>
    </row>
    <row r="13" spans="1:4" s="293" customFormat="1" ht="46.5" customHeight="1">
      <c r="A13" s="292" t="s">
        <v>554</v>
      </c>
      <c r="B13" s="346" t="s">
        <v>789</v>
      </c>
      <c r="C13" s="347"/>
      <c r="D13" s="292"/>
    </row>
    <row r="14" spans="1:4">
      <c r="A14" s="49"/>
      <c r="B14" s="49"/>
      <c r="C14" s="49"/>
      <c r="D14" s="49"/>
    </row>
    <row r="15" spans="1:4" ht="82.5" customHeight="1">
      <c r="A15" s="49"/>
      <c r="B15" s="49"/>
      <c r="C15" s="49"/>
      <c r="D15" s="181"/>
    </row>
    <row r="16" spans="1:4" ht="45.75" customHeight="1">
      <c r="A16" s="49"/>
      <c r="B16" s="249" t="s">
        <v>6</v>
      </c>
      <c r="C16" s="252" t="s">
        <v>563</v>
      </c>
      <c r="D16" s="181"/>
    </row>
    <row r="17" spans="1:4" ht="21.75" customHeight="1">
      <c r="A17" s="49"/>
      <c r="B17" s="250" t="s">
        <v>7</v>
      </c>
      <c r="C17" s="290" t="s">
        <v>564</v>
      </c>
      <c r="D17" s="181"/>
    </row>
    <row r="18" spans="1:4">
      <c r="A18" s="53"/>
      <c r="B18" s="52"/>
      <c r="C18" s="218"/>
      <c r="D18" s="53"/>
    </row>
    <row r="19" spans="1:4" s="55" customFormat="1" ht="11.25">
      <c r="A19" s="274"/>
      <c r="B19" s="275"/>
      <c r="C19" s="275"/>
      <c r="D19" s="54"/>
    </row>
    <row r="20" spans="1:4" s="55" customFormat="1" ht="11.25">
      <c r="A20" s="274"/>
      <c r="B20" s="275"/>
      <c r="C20" s="275"/>
      <c r="D20" s="54"/>
    </row>
    <row r="21" spans="1:4" s="55" customFormat="1" ht="11.25">
      <c r="A21" s="274"/>
      <c r="B21" s="275"/>
      <c r="C21" s="275"/>
      <c r="D21" s="54"/>
    </row>
    <row r="22" spans="1:4" s="55" customFormat="1" ht="11.25">
      <c r="A22" s="274"/>
      <c r="B22" s="275"/>
      <c r="C22" s="275"/>
      <c r="D22" s="54"/>
    </row>
    <row r="23" spans="1:4" s="55" customFormat="1" ht="11.25">
      <c r="A23" s="274"/>
      <c r="B23" s="275"/>
      <c r="C23" s="275"/>
      <c r="D23" s="54"/>
    </row>
    <row r="24" spans="1:4" s="55" customFormat="1" ht="11.25">
      <c r="A24" s="274"/>
      <c r="B24" s="275"/>
      <c r="C24" s="275"/>
      <c r="D24" s="54"/>
    </row>
    <row r="25" spans="1:4" s="55" customFormat="1" ht="11.25">
      <c r="A25" s="274"/>
      <c r="B25" s="275"/>
      <c r="C25" s="275"/>
      <c r="D25" s="54"/>
    </row>
  </sheetData>
  <customSheetViews>
    <customSheetView guid="{1EC8F930-14F4-4F68-ADDF-6F0F0EB721BA}">
      <selection activeCell="C7" sqref="C7"/>
      <pageMargins left="0" right="0" top="0" bottom="0" header="0" footer="0"/>
      <printOptions horizontalCentered="1"/>
      <pageSetup paperSize="9" fitToHeight="3" orientation="portrait"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howPageBreaks="1" printArea="1">
      <selection activeCell="C7" sqref="C7"/>
      <pageMargins left="0" right="0" top="0" bottom="0" header="0" footer="0"/>
      <printOptions horizontalCentered="1"/>
      <pageSetup paperSize="9" fitToHeight="3" orientation="portrait"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8">
    <mergeCell ref="B13:C13"/>
    <mergeCell ref="B11:C11"/>
    <mergeCell ref="B12:C12"/>
    <mergeCell ref="B4:C4"/>
    <mergeCell ref="B6:C6"/>
    <mergeCell ref="B8:C8"/>
    <mergeCell ref="B9:C9"/>
    <mergeCell ref="B10:C10"/>
  </mergeCells>
  <phoneticPr fontId="50" type="noConversion"/>
  <hyperlinks>
    <hyperlink ref="C16" r:id="rId3" xr:uid="{00000000-0004-0000-0000-000000000000}"/>
  </hyperlinks>
  <printOptions horizontalCentered="1"/>
  <pageMargins left="0.78740157480314965" right="0.39370078740157483" top="0.78" bottom="0.82677165354330717" header="0.19685039370078741" footer="0.31496062992125984"/>
  <pageSetup paperSize="9" fitToHeight="3" orientation="portrait" r:id="rId4"/>
  <headerFooter alignWithMargins="0">
    <oddHeader>&amp;L&amp;G&amp;C&amp;"Arial,Fett"&amp;14Functional Safety Work ProductWP-T 02 Preliminary Hazard Analysis</oddHeader>
    <oddFooter>&amp;L&amp;8Record Owner: tfrese (of template – to be changed)
GIS1 Item Number: 27.60/35 or for GTDS 27.55/15 (delete one)
GIS2 Classification: Confidential&amp;C&amp;8Page &amp;P of &amp;N
&amp;R&amp;8Date Issued: 2009-10-21 
Date Revised: 2022-07-28
Retention Start Date: 2022-07-28</oddFooter>
  </headerFooter>
  <legacyDrawingHF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tabColor indexed="22"/>
  </sheetPr>
  <dimension ref="B2:I12"/>
  <sheetViews>
    <sheetView workbookViewId="0">
      <selection activeCell="G5" sqref="A5:G12"/>
    </sheetView>
  </sheetViews>
  <sheetFormatPr defaultColWidth="11.42578125" defaultRowHeight="12.75"/>
  <cols>
    <col min="1" max="1" width="11.42578125" style="4"/>
    <col min="2" max="2" width="16.85546875" style="4" customWidth="1"/>
    <col min="3" max="3" width="11.42578125" style="4"/>
    <col min="4" max="4" width="14.5703125" style="4" customWidth="1"/>
    <col min="5" max="5" width="38" style="4" customWidth="1"/>
    <col min="6" max="16384" width="11.42578125" style="4"/>
  </cols>
  <sheetData>
    <row r="2" spans="2:9">
      <c r="B2" s="31" t="s">
        <v>8</v>
      </c>
    </row>
    <row r="3" spans="2:9">
      <c r="B3" s="31" t="s">
        <v>9</v>
      </c>
    </row>
    <row r="4" spans="2:9" ht="177" customHeight="1">
      <c r="B4" s="355" t="s">
        <v>10</v>
      </c>
      <c r="C4" s="356"/>
      <c r="D4" s="356"/>
      <c r="E4" s="356"/>
      <c r="F4" s="356"/>
      <c r="G4" s="356"/>
      <c r="H4" s="356"/>
      <c r="I4" s="262"/>
    </row>
    <row r="5" spans="2:9">
      <c r="B5" s="31"/>
    </row>
    <row r="6" spans="2:9">
      <c r="B6" s="31" t="s">
        <v>11</v>
      </c>
    </row>
    <row r="7" spans="2:9" ht="24">
      <c r="B7" s="110"/>
      <c r="C7" s="357" t="s">
        <v>12</v>
      </c>
      <c r="D7" s="357"/>
      <c r="E7" s="297" t="s">
        <v>566</v>
      </c>
      <c r="F7" s="322" t="s">
        <v>13</v>
      </c>
    </row>
    <row r="8" spans="2:9" ht="51">
      <c r="B8" s="255" t="s">
        <v>14</v>
      </c>
      <c r="C8" s="358" t="s">
        <v>788</v>
      </c>
      <c r="D8" s="358"/>
      <c r="E8" s="338" t="s">
        <v>787</v>
      </c>
      <c r="F8" s="187" t="s">
        <v>786</v>
      </c>
    </row>
    <row r="9" spans="2:9">
      <c r="B9" s="362" t="s">
        <v>15</v>
      </c>
      <c r="C9" s="360" t="s">
        <v>16</v>
      </c>
      <c r="D9" s="361"/>
      <c r="E9" s="191" t="s">
        <v>17</v>
      </c>
      <c r="F9" s="189">
        <v>42691</v>
      </c>
    </row>
    <row r="10" spans="2:9">
      <c r="B10" s="363"/>
      <c r="C10" s="359" t="s">
        <v>18</v>
      </c>
      <c r="D10" s="359"/>
      <c r="E10" s="187"/>
      <c r="F10" s="188" t="s">
        <v>19</v>
      </c>
    </row>
    <row r="11" spans="2:9">
      <c r="B11" s="90"/>
      <c r="C11" s="91"/>
      <c r="D11" s="91"/>
      <c r="E11" s="92"/>
      <c r="F11" s="93"/>
    </row>
    <row r="12" spans="2:9">
      <c r="B12" s="90"/>
      <c r="C12" s="91"/>
      <c r="D12" s="91"/>
      <c r="E12" s="92"/>
      <c r="F12" s="93"/>
    </row>
  </sheetData>
  <customSheetViews>
    <customSheetView guid="{1EC8F930-14F4-4F68-ADDF-6F0F0EB721BA}">
      <selection activeCell="D13" sqref="D13"/>
      <pageMargins left="0" right="0" top="0" bottom="0" header="0" footer="0"/>
      <pageSetup paperSize="9" orientation="portrait" r:id="rId1"/>
      <headerFooter alignWithMargins="0"/>
    </customSheetView>
    <customSheetView guid="{97C31678-F053-4946-809D-FA0B847F2A76}">
      <selection activeCell="D13" sqref="D13"/>
      <pageMargins left="0" right="0" top="0" bottom="0" header="0" footer="0"/>
      <pageSetup paperSize="9" orientation="portrait" r:id="rId2"/>
      <headerFooter alignWithMargins="0"/>
    </customSheetView>
  </customSheetViews>
  <mergeCells count="6">
    <mergeCell ref="B4:H4"/>
    <mergeCell ref="C7:D7"/>
    <mergeCell ref="C8:D8"/>
    <mergeCell ref="C10:D10"/>
    <mergeCell ref="C9:D9"/>
    <mergeCell ref="B9:B10"/>
  </mergeCells>
  <phoneticPr fontId="50" type="noConversion"/>
  <hyperlinks>
    <hyperlink ref="E9" r:id="rId3" xr:uid="{00000000-0004-0000-0100-000000000000}"/>
    <hyperlink ref="E8" r:id="rId4" xr:uid="{A80EBA16-58CF-495D-9173-3A1370E74BF3}"/>
  </hyperlinks>
  <pageMargins left="0.78740157499999996" right="0.78740157499999996" top="0.984251969" bottom="0.984251969" header="0.4921259845" footer="0.4921259845"/>
  <pageSetup paperSize="9" orientation="portrait" r:id="rId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indexed="9"/>
  </sheetPr>
  <dimension ref="A2:F47"/>
  <sheetViews>
    <sheetView showGridLines="0" tabSelected="1" workbookViewId="0">
      <selection activeCell="D5" sqref="D5"/>
    </sheetView>
  </sheetViews>
  <sheetFormatPr defaultColWidth="11.42578125" defaultRowHeight="12.75"/>
  <cols>
    <col min="1" max="1" width="8.42578125" style="45" customWidth="1"/>
    <col min="2" max="2" width="19" style="45" customWidth="1"/>
    <col min="3" max="3" width="17.140625" customWidth="1"/>
    <col min="4" max="4" width="35" customWidth="1"/>
    <col min="5" max="5" width="12.85546875" customWidth="1"/>
    <col min="6" max="6" width="14.5703125" customWidth="1"/>
    <col min="8" max="8" width="17.140625" customWidth="1"/>
    <col min="9" max="9" width="5.28515625" bestFit="1" customWidth="1"/>
    <col min="10" max="10" width="45.5703125" customWidth="1"/>
    <col min="11" max="11" width="16.42578125" bestFit="1" customWidth="1"/>
    <col min="12" max="12" width="7.5703125" bestFit="1" customWidth="1"/>
  </cols>
  <sheetData>
    <row r="2" spans="1:6" ht="15.75">
      <c r="A2" s="366" t="s">
        <v>20</v>
      </c>
      <c r="B2" s="367"/>
      <c r="C2" s="367"/>
      <c r="D2" s="367"/>
      <c r="E2" s="181"/>
      <c r="F2" s="181"/>
    </row>
    <row r="3" spans="1:6">
      <c r="A3" s="56" t="s">
        <v>13</v>
      </c>
      <c r="B3" s="56" t="s">
        <v>21</v>
      </c>
      <c r="C3" s="56" t="s">
        <v>22</v>
      </c>
      <c r="D3" s="56" t="s">
        <v>23</v>
      </c>
      <c r="E3" s="181"/>
      <c r="F3" s="181"/>
    </row>
    <row r="4" spans="1:6">
      <c r="A4" s="140">
        <v>0.1</v>
      </c>
      <c r="B4" s="339">
        <v>44938</v>
      </c>
      <c r="C4" s="140" t="s">
        <v>750</v>
      </c>
      <c r="D4" s="332" t="s">
        <v>751</v>
      </c>
      <c r="E4" s="181"/>
      <c r="F4" s="181"/>
    </row>
    <row r="5" spans="1:6" ht="33.75">
      <c r="A5" s="140">
        <v>0.2</v>
      </c>
      <c r="B5" s="339">
        <v>45307</v>
      </c>
      <c r="C5" s="140" t="s">
        <v>750</v>
      </c>
      <c r="D5" s="332" t="s">
        <v>818</v>
      </c>
      <c r="E5" s="181"/>
      <c r="F5" s="181"/>
    </row>
    <row r="6" spans="1:6">
      <c r="A6" s="112"/>
      <c r="B6" s="114"/>
      <c r="C6" s="112"/>
      <c r="D6" s="113"/>
      <c r="E6" s="181"/>
      <c r="F6" s="181"/>
    </row>
    <row r="7" spans="1:6">
      <c r="A7" s="58"/>
      <c r="B7" s="181"/>
      <c r="C7" s="181"/>
      <c r="D7" s="181"/>
      <c r="E7" s="181"/>
      <c r="F7" s="181"/>
    </row>
    <row r="9" spans="1:6" ht="15.75">
      <c r="A9" s="366" t="s">
        <v>24</v>
      </c>
      <c r="B9" s="366"/>
      <c r="C9" s="366"/>
      <c r="D9" s="366"/>
      <c r="E9" s="366"/>
      <c r="F9" s="102"/>
    </row>
    <row r="10" spans="1:6" ht="22.5">
      <c r="A10" s="59" t="s">
        <v>25</v>
      </c>
      <c r="B10" s="59" t="s">
        <v>26</v>
      </c>
      <c r="C10" s="59" t="s">
        <v>27</v>
      </c>
      <c r="D10" s="59" t="s">
        <v>28</v>
      </c>
      <c r="E10" s="59" t="s">
        <v>29</v>
      </c>
      <c r="F10" s="98"/>
    </row>
    <row r="11" spans="1:6">
      <c r="A11" s="244" t="s">
        <v>790</v>
      </c>
      <c r="B11" s="340" t="s">
        <v>791</v>
      </c>
      <c r="C11" s="244" t="s">
        <v>792</v>
      </c>
      <c r="D11" s="113" t="s">
        <v>793</v>
      </c>
      <c r="E11" s="244"/>
      <c r="F11" s="98"/>
    </row>
    <row r="12" spans="1:6">
      <c r="A12" s="244"/>
      <c r="B12" s="244"/>
      <c r="C12" s="244"/>
      <c r="D12" s="113"/>
      <c r="E12" s="244"/>
      <c r="F12" s="98"/>
    </row>
    <row r="13" spans="1:6">
      <c r="A13" s="244"/>
      <c r="B13" s="244"/>
      <c r="C13" s="244"/>
      <c r="D13" s="113"/>
      <c r="E13" s="244"/>
      <c r="F13" s="98"/>
    </row>
    <row r="14" spans="1:6">
      <c r="A14" s="244"/>
      <c r="B14" s="244"/>
      <c r="C14" s="244"/>
      <c r="D14" s="113"/>
      <c r="E14" s="244"/>
      <c r="F14" s="98"/>
    </row>
    <row r="15" spans="1:6">
      <c r="A15" s="244"/>
      <c r="B15" s="244"/>
      <c r="C15" s="244"/>
      <c r="D15" s="113"/>
      <c r="E15" s="244"/>
      <c r="F15" s="98"/>
    </row>
    <row r="16" spans="1:6">
      <c r="A16" s="244"/>
      <c r="B16" s="244"/>
      <c r="C16" s="244"/>
      <c r="D16" s="113"/>
      <c r="E16" s="244"/>
      <c r="F16" s="99"/>
    </row>
    <row r="17" spans="1:6">
      <c r="A17" s="244"/>
      <c r="B17" s="244"/>
      <c r="C17" s="244"/>
      <c r="D17" s="113"/>
      <c r="E17" s="244"/>
      <c r="F17" s="99"/>
    </row>
    <row r="20" spans="1:6" ht="15.75">
      <c r="A20" s="366" t="s">
        <v>30</v>
      </c>
      <c r="B20" s="366"/>
      <c r="C20" s="366"/>
      <c r="D20" s="366"/>
      <c r="E20" s="366"/>
      <c r="F20" s="103"/>
    </row>
    <row r="21" spans="1:6" s="60" customFormat="1" ht="22.5">
      <c r="A21" s="59" t="s">
        <v>25</v>
      </c>
      <c r="B21" s="59" t="s">
        <v>26</v>
      </c>
      <c r="C21" s="59" t="s">
        <v>27</v>
      </c>
      <c r="D21" s="59" t="s">
        <v>28</v>
      </c>
      <c r="E21" s="59" t="s">
        <v>29</v>
      </c>
      <c r="F21" s="98"/>
    </row>
    <row r="22" spans="1:6">
      <c r="A22" s="244"/>
      <c r="B22" s="244"/>
      <c r="C22" s="244"/>
      <c r="D22" s="113"/>
      <c r="E22" s="244"/>
      <c r="F22" s="98"/>
    </row>
    <row r="23" spans="1:6">
      <c r="A23" s="244"/>
      <c r="B23" s="244"/>
      <c r="C23" s="244"/>
      <c r="D23" s="113"/>
      <c r="E23" s="244"/>
      <c r="F23" s="98"/>
    </row>
    <row r="24" spans="1:6">
      <c r="A24" s="244"/>
      <c r="B24" s="244"/>
      <c r="C24" s="244"/>
      <c r="D24" s="113"/>
      <c r="E24" s="244"/>
      <c r="F24" s="98"/>
    </row>
    <row r="25" spans="1:6">
      <c r="A25" s="244"/>
      <c r="B25" s="244"/>
      <c r="C25" s="244"/>
      <c r="D25" s="113"/>
      <c r="E25" s="244"/>
      <c r="F25" s="98"/>
    </row>
    <row r="26" spans="1:6">
      <c r="A26" s="244"/>
      <c r="B26" s="244"/>
      <c r="C26" s="244"/>
      <c r="D26" s="113"/>
      <c r="E26" s="244"/>
      <c r="F26" s="98"/>
    </row>
    <row r="27" spans="1:6">
      <c r="A27" s="244"/>
      <c r="B27" s="244"/>
      <c r="C27" s="244"/>
      <c r="D27" s="113"/>
      <c r="E27" s="244"/>
      <c r="F27" s="99"/>
    </row>
    <row r="28" spans="1:6" s="181" customFormat="1">
      <c r="A28" s="211"/>
      <c r="B28" s="211"/>
      <c r="C28" s="211"/>
      <c r="D28" s="212"/>
      <c r="E28" s="211"/>
      <c r="F28" s="101"/>
    </row>
    <row r="29" spans="1:6" s="181" customFormat="1">
      <c r="A29" s="368" t="s">
        <v>31</v>
      </c>
      <c r="B29" s="368"/>
      <c r="C29" s="368"/>
      <c r="D29" s="368"/>
      <c r="E29" s="368"/>
      <c r="F29" s="101"/>
    </row>
    <row r="30" spans="1:6">
      <c r="C30" s="181"/>
      <c r="D30" s="181"/>
      <c r="E30" s="100"/>
      <c r="F30" s="101"/>
    </row>
    <row r="31" spans="1:6">
      <c r="A31" s="213" t="s">
        <v>32</v>
      </c>
      <c r="B31" s="214"/>
      <c r="C31" s="215"/>
      <c r="D31" s="215"/>
      <c r="E31" s="215"/>
      <c r="F31" s="181"/>
    </row>
    <row r="32" spans="1:6">
      <c r="A32" s="364" t="s">
        <v>33</v>
      </c>
      <c r="B32" s="365"/>
      <c r="C32" s="365"/>
      <c r="D32" s="365"/>
      <c r="E32" s="365"/>
      <c r="F32" s="181"/>
    </row>
    <row r="33" spans="1:5">
      <c r="A33" s="216"/>
      <c r="B33" s="214"/>
      <c r="C33" s="215"/>
      <c r="D33" s="215"/>
      <c r="E33" s="215"/>
    </row>
    <row r="34" spans="1:5">
      <c r="A34" s="364" t="s">
        <v>34</v>
      </c>
      <c r="B34" s="365"/>
      <c r="C34" s="365"/>
      <c r="D34" s="365"/>
      <c r="E34" s="365"/>
    </row>
    <row r="35" spans="1:5">
      <c r="A35" s="216"/>
      <c r="B35" s="214"/>
      <c r="C35" s="215"/>
      <c r="D35" s="215"/>
      <c r="E35" s="215"/>
    </row>
    <row r="36" spans="1:5">
      <c r="A36" s="364" t="s">
        <v>35</v>
      </c>
      <c r="B36" s="365"/>
      <c r="C36" s="365"/>
      <c r="D36" s="365"/>
      <c r="E36" s="365"/>
    </row>
    <row r="37" spans="1:5">
      <c r="A37" s="216"/>
      <c r="B37" s="214"/>
      <c r="C37" s="215"/>
      <c r="D37" s="215"/>
      <c r="E37" s="215"/>
    </row>
    <row r="38" spans="1:5">
      <c r="A38" s="364" t="s">
        <v>36</v>
      </c>
      <c r="B38" s="365"/>
      <c r="C38" s="365"/>
      <c r="D38" s="365"/>
      <c r="E38" s="365"/>
    </row>
    <row r="39" spans="1:5">
      <c r="A39" s="216"/>
      <c r="B39" s="214"/>
      <c r="C39" s="215"/>
      <c r="D39" s="215"/>
      <c r="E39" s="215"/>
    </row>
    <row r="40" spans="1:5">
      <c r="A40" s="364" t="s">
        <v>37</v>
      </c>
      <c r="B40" s="365"/>
      <c r="C40" s="365"/>
      <c r="D40" s="365"/>
      <c r="E40" s="365"/>
    </row>
    <row r="41" spans="1:5">
      <c r="A41" s="216"/>
      <c r="B41" s="214"/>
      <c r="C41" s="215"/>
      <c r="D41" s="215"/>
      <c r="E41" s="215"/>
    </row>
    <row r="42" spans="1:5">
      <c r="A42" s="216" t="s">
        <v>38</v>
      </c>
      <c r="B42" s="214"/>
      <c r="C42" s="215"/>
      <c r="D42" s="215"/>
      <c r="E42" s="215"/>
    </row>
    <row r="43" spans="1:5">
      <c r="A43" s="369" t="s">
        <v>39</v>
      </c>
      <c r="B43" s="369"/>
      <c r="C43" s="369"/>
      <c r="D43" s="369"/>
      <c r="E43" s="215"/>
    </row>
    <row r="45" spans="1:5" s="181" customFormat="1">
      <c r="A45" s="259" t="s">
        <v>40</v>
      </c>
      <c r="B45" s="45"/>
    </row>
    <row r="46" spans="1:5" s="181" customFormat="1">
      <c r="A46" s="45"/>
      <c r="B46" s="45"/>
    </row>
    <row r="47" spans="1:5">
      <c r="A47" s="364" t="s">
        <v>41</v>
      </c>
      <c r="B47" s="365"/>
      <c r="C47" s="365"/>
      <c r="D47" s="365"/>
      <c r="E47" s="365"/>
    </row>
  </sheetData>
  <customSheetViews>
    <customSheetView guid="{1EC8F930-14F4-4F68-ADDF-6F0F0EB721BA}" showGridLines="0" topLeftCell="A28">
      <selection activeCell="A39" sqref="A39"/>
      <pageMargins left="0" right="0" top="0" bottom="0" header="0" footer="0"/>
      <printOptions horizontalCentered="1"/>
      <pageSetup paperSize="9" fitToHeight="0" orientation="portrait"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howGridLines="0" topLeftCell="A28">
      <selection activeCell="A39" sqref="A39"/>
      <pageMargins left="0" right="0" top="0" bottom="0" header="0" footer="0"/>
      <printOptions horizontalCentered="1"/>
      <pageSetup paperSize="9" fitToHeight="0" orientation="portrait"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11">
    <mergeCell ref="A47:E47"/>
    <mergeCell ref="A38:E38"/>
    <mergeCell ref="A40:E40"/>
    <mergeCell ref="A2:D2"/>
    <mergeCell ref="A9:E9"/>
    <mergeCell ref="A20:E20"/>
    <mergeCell ref="A32:E32"/>
    <mergeCell ref="A34:E34"/>
    <mergeCell ref="A36:E36"/>
    <mergeCell ref="A29:E29"/>
    <mergeCell ref="A43:D43"/>
  </mergeCells>
  <phoneticPr fontId="0" type="noConversion"/>
  <hyperlinks>
    <hyperlink ref="B11" r:id="rId3" xr:uid="{A35CAEE9-E3D0-4219-88B0-73F641391C2A}"/>
  </hyperlinks>
  <printOptions horizontalCentered="1"/>
  <pageMargins left="0.78740157480314965" right="0.39370078740157483" top="0.78" bottom="0.82677165354330717" header="0.19685039370078741" footer="0.31496062992125984"/>
  <pageSetup paperSize="9" fitToHeight="0" orientation="portrait" r:id="rId4"/>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0" tint="-0.249977111117893"/>
  </sheetPr>
  <dimension ref="A1:J254"/>
  <sheetViews>
    <sheetView showGridLines="0" topLeftCell="C1" workbookViewId="0">
      <selection activeCell="D2" sqref="D2"/>
    </sheetView>
  </sheetViews>
  <sheetFormatPr defaultColWidth="14.85546875" defaultRowHeight="15"/>
  <cols>
    <col min="1" max="1" width="4.140625" style="95" customWidth="1"/>
    <col min="2" max="2" width="16" style="96" customWidth="1"/>
    <col min="3" max="3" width="91.7109375" style="166" customWidth="1"/>
    <col min="4" max="4" width="91.7109375" style="169" customWidth="1"/>
    <col min="5" max="5" width="9.7109375" style="95" customWidth="1"/>
    <col min="6" max="6" width="6.140625" style="95" customWidth="1"/>
    <col min="7" max="16384" width="14.85546875" style="95"/>
  </cols>
  <sheetData>
    <row r="1" spans="1:10" ht="45" customHeight="1">
      <c r="B1" s="111" t="s">
        <v>109</v>
      </c>
      <c r="C1" s="171" t="s">
        <v>110</v>
      </c>
      <c r="D1" s="172" t="s">
        <v>44</v>
      </c>
      <c r="F1" s="298"/>
    </row>
    <row r="2" spans="1:10">
      <c r="B2" s="299" t="s">
        <v>732</v>
      </c>
      <c r="C2" s="167" t="s">
        <v>570</v>
      </c>
      <c r="D2" s="173" t="s">
        <v>111</v>
      </c>
      <c r="F2" s="298"/>
    </row>
    <row r="3" spans="1:10" ht="76.5">
      <c r="B3" s="299" t="s">
        <v>733</v>
      </c>
      <c r="C3" s="167" t="s">
        <v>571</v>
      </c>
      <c r="D3" s="173" t="s">
        <v>112</v>
      </c>
      <c r="F3" s="300"/>
    </row>
    <row r="4" spans="1:10" ht="25.5">
      <c r="B4" s="299" t="s">
        <v>734</v>
      </c>
      <c r="C4" s="167" t="s">
        <v>735</v>
      </c>
      <c r="D4" s="173" t="s">
        <v>113</v>
      </c>
      <c r="F4" s="300"/>
    </row>
    <row r="5" spans="1:10" ht="25.5">
      <c r="B5" s="299" t="s">
        <v>737</v>
      </c>
      <c r="C5" s="167" t="s">
        <v>736</v>
      </c>
      <c r="D5" s="173" t="s">
        <v>114</v>
      </c>
      <c r="F5" s="300"/>
    </row>
    <row r="6" spans="1:10" ht="38.25">
      <c r="B6" s="299" t="s">
        <v>738</v>
      </c>
      <c r="C6" s="167" t="s">
        <v>739</v>
      </c>
      <c r="D6" s="173" t="s">
        <v>115</v>
      </c>
      <c r="F6" s="300"/>
    </row>
    <row r="7" spans="1:10" ht="89.25">
      <c r="B7" s="299" t="s">
        <v>740</v>
      </c>
      <c r="C7" s="167" t="s">
        <v>572</v>
      </c>
      <c r="D7" s="173" t="s">
        <v>116</v>
      </c>
      <c r="F7" s="300"/>
    </row>
    <row r="8" spans="1:10" ht="51">
      <c r="B8" s="299" t="s">
        <v>741</v>
      </c>
      <c r="C8" s="167" t="s">
        <v>573</v>
      </c>
      <c r="D8" s="173" t="s">
        <v>117</v>
      </c>
      <c r="F8" s="300"/>
    </row>
    <row r="9" spans="1:10" ht="25.5">
      <c r="A9" s="95" t="s">
        <v>0</v>
      </c>
      <c r="B9" s="301" t="s">
        <v>742</v>
      </c>
      <c r="C9" s="167" t="s">
        <v>574</v>
      </c>
      <c r="D9" s="173" t="s">
        <v>118</v>
      </c>
      <c r="F9" s="300"/>
    </row>
    <row r="10" spans="1:10" ht="25.5">
      <c r="B10" s="299" t="s">
        <v>743</v>
      </c>
      <c r="C10" s="167" t="s">
        <v>575</v>
      </c>
      <c r="D10" s="173" t="s">
        <v>119</v>
      </c>
      <c r="F10" s="300"/>
    </row>
    <row r="11" spans="1:10" ht="38.25">
      <c r="B11" s="299" t="s">
        <v>744</v>
      </c>
      <c r="C11" s="302" t="s">
        <v>576</v>
      </c>
      <c r="D11" s="303" t="s">
        <v>120</v>
      </c>
      <c r="F11" s="300"/>
    </row>
    <row r="12" spans="1:10" ht="102">
      <c r="B12" s="304" t="s">
        <v>745</v>
      </c>
      <c r="C12" s="305" t="s">
        <v>577</v>
      </c>
      <c r="D12" s="306" t="s">
        <v>121</v>
      </c>
      <c r="F12" s="300"/>
    </row>
    <row r="13" spans="1:10" ht="26.25" thickBot="1">
      <c r="B13" s="307" t="s">
        <v>746</v>
      </c>
      <c r="C13" s="308" t="s">
        <v>578</v>
      </c>
      <c r="D13" s="309" t="s">
        <v>122</v>
      </c>
      <c r="F13" s="300"/>
    </row>
    <row r="14" spans="1:10">
      <c r="F14" s="96"/>
      <c r="H14" s="96"/>
      <c r="J14" s="300"/>
    </row>
    <row r="15" spans="1:10" ht="15.75" thickBot="1">
      <c r="F15" s="96"/>
      <c r="H15" s="96"/>
      <c r="J15" s="300"/>
    </row>
    <row r="16" spans="1:10" ht="45" customHeight="1">
      <c r="B16" s="111" t="s">
        <v>109</v>
      </c>
      <c r="C16" s="171" t="s">
        <v>123</v>
      </c>
      <c r="D16" s="172" t="s">
        <v>44</v>
      </c>
      <c r="F16" s="298"/>
    </row>
    <row r="17" spans="2:10">
      <c r="B17" s="299" t="s">
        <v>579</v>
      </c>
      <c r="C17" s="310" t="s">
        <v>580</v>
      </c>
      <c r="D17" s="174" t="s">
        <v>124</v>
      </c>
      <c r="F17" s="300"/>
    </row>
    <row r="18" spans="2:10" ht="25.5">
      <c r="B18" s="299" t="s">
        <v>581</v>
      </c>
      <c r="C18" s="310" t="s">
        <v>582</v>
      </c>
      <c r="D18" s="177" t="s">
        <v>125</v>
      </c>
      <c r="F18" s="300"/>
    </row>
    <row r="19" spans="2:10">
      <c r="B19" s="299" t="s">
        <v>583</v>
      </c>
      <c r="C19" s="310" t="s">
        <v>584</v>
      </c>
      <c r="D19" s="177" t="s">
        <v>126</v>
      </c>
      <c r="F19" s="300"/>
    </row>
    <row r="20" spans="2:10" ht="38.25">
      <c r="B20" s="141" t="s">
        <v>585</v>
      </c>
      <c r="C20" s="310" t="s">
        <v>586</v>
      </c>
      <c r="D20" s="177" t="s">
        <v>127</v>
      </c>
      <c r="F20" s="300"/>
    </row>
    <row r="21" spans="2:10" ht="63.75">
      <c r="B21" s="141" t="s">
        <v>587</v>
      </c>
      <c r="C21" s="310" t="s">
        <v>588</v>
      </c>
      <c r="D21" s="174" t="s">
        <v>128</v>
      </c>
      <c r="F21" s="300"/>
    </row>
    <row r="22" spans="2:10" ht="102">
      <c r="B22" s="141" t="s">
        <v>589</v>
      </c>
      <c r="C22" s="310" t="s">
        <v>590</v>
      </c>
      <c r="D22" s="174" t="s">
        <v>129</v>
      </c>
      <c r="F22" s="300"/>
    </row>
    <row r="23" spans="2:10" ht="76.5">
      <c r="B23" s="141" t="s">
        <v>589</v>
      </c>
      <c r="C23" s="310" t="s">
        <v>591</v>
      </c>
      <c r="D23" s="174" t="s">
        <v>130</v>
      </c>
      <c r="F23" s="300"/>
    </row>
    <row r="24" spans="2:10" ht="63.75">
      <c r="B24" s="141" t="s">
        <v>592</v>
      </c>
      <c r="C24" s="310" t="s">
        <v>593</v>
      </c>
      <c r="D24" s="311" t="s">
        <v>131</v>
      </c>
      <c r="F24" s="300"/>
    </row>
    <row r="25" spans="2:10" ht="25.5">
      <c r="B25" s="223" t="s">
        <v>594</v>
      </c>
      <c r="C25" s="312" t="s">
        <v>595</v>
      </c>
      <c r="D25" s="224" t="s">
        <v>132</v>
      </c>
      <c r="F25" s="300"/>
    </row>
    <row r="26" spans="2:10" ht="15.75" thickBot="1">
      <c r="B26" s="138" t="s">
        <v>596</v>
      </c>
      <c r="C26" s="168" t="s">
        <v>597</v>
      </c>
      <c r="D26" s="175" t="s">
        <v>133</v>
      </c>
      <c r="F26" s="300"/>
    </row>
    <row r="27" spans="2:10">
      <c r="F27" s="96"/>
      <c r="H27" s="96"/>
      <c r="J27" s="300"/>
    </row>
    <row r="28" spans="2:10" ht="15.75" thickBot="1">
      <c r="F28" s="96"/>
      <c r="H28" s="96"/>
      <c r="J28" s="300"/>
    </row>
    <row r="29" spans="2:10" ht="45" customHeight="1">
      <c r="B29" s="111" t="s">
        <v>109</v>
      </c>
      <c r="C29" s="171" t="s">
        <v>134</v>
      </c>
      <c r="D29" s="172" t="s">
        <v>44</v>
      </c>
      <c r="F29" s="298"/>
    </row>
    <row r="30" spans="2:10">
      <c r="B30" s="299" t="s">
        <v>598</v>
      </c>
      <c r="C30" s="310" t="s">
        <v>599</v>
      </c>
      <c r="D30" s="174" t="s">
        <v>135</v>
      </c>
      <c r="F30" s="300"/>
    </row>
    <row r="31" spans="2:10" ht="25.5">
      <c r="B31" s="299" t="s">
        <v>600</v>
      </c>
      <c r="C31" s="310" t="s">
        <v>601</v>
      </c>
      <c r="D31" s="174" t="s">
        <v>136</v>
      </c>
      <c r="F31" s="300"/>
    </row>
    <row r="32" spans="2:10" ht="51">
      <c r="B32" s="299" t="s">
        <v>602</v>
      </c>
      <c r="C32" s="310" t="s">
        <v>603</v>
      </c>
      <c r="D32" s="174" t="s">
        <v>137</v>
      </c>
      <c r="F32" s="300"/>
    </row>
    <row r="33" spans="2:10" ht="51">
      <c r="B33" s="299" t="s">
        <v>604</v>
      </c>
      <c r="C33" s="310" t="s">
        <v>605</v>
      </c>
      <c r="D33" s="174" t="s">
        <v>138</v>
      </c>
      <c r="F33" s="300"/>
    </row>
    <row r="34" spans="2:10">
      <c r="B34" s="299" t="s">
        <v>606</v>
      </c>
      <c r="C34" s="310" t="s">
        <v>607</v>
      </c>
      <c r="D34" s="174" t="s">
        <v>139</v>
      </c>
      <c r="F34" s="300"/>
    </row>
    <row r="35" spans="2:10">
      <c r="B35" s="299" t="s">
        <v>608</v>
      </c>
      <c r="C35" s="310" t="s">
        <v>609</v>
      </c>
      <c r="D35" s="174" t="s">
        <v>140</v>
      </c>
      <c r="F35" s="300"/>
    </row>
    <row r="36" spans="2:10" ht="51">
      <c r="B36" s="299" t="s">
        <v>610</v>
      </c>
      <c r="C36" s="310" t="s">
        <v>611</v>
      </c>
      <c r="D36" s="174" t="s">
        <v>141</v>
      </c>
      <c r="F36" s="300"/>
    </row>
    <row r="37" spans="2:10" ht="114.75">
      <c r="B37" s="304" t="s">
        <v>612</v>
      </c>
      <c r="C37" s="313" t="s">
        <v>613</v>
      </c>
      <c r="D37" s="314" t="s">
        <v>142</v>
      </c>
      <c r="F37" s="300"/>
    </row>
    <row r="38" spans="2:10" ht="39" thickBot="1">
      <c r="B38" s="307" t="s">
        <v>614</v>
      </c>
      <c r="C38" s="315" t="s">
        <v>615</v>
      </c>
      <c r="D38" s="316" t="s">
        <v>143</v>
      </c>
      <c r="F38" s="300"/>
    </row>
    <row r="39" spans="2:10">
      <c r="F39" s="96"/>
      <c r="H39" s="96"/>
      <c r="J39" s="300"/>
    </row>
    <row r="40" spans="2:10" ht="15.75" thickBot="1">
      <c r="F40" s="96"/>
      <c r="H40" s="96"/>
      <c r="J40" s="300"/>
    </row>
    <row r="41" spans="2:10" ht="45" customHeight="1">
      <c r="B41" s="111" t="s">
        <v>109</v>
      </c>
      <c r="C41" s="171" t="s">
        <v>144</v>
      </c>
      <c r="D41" s="172" t="s">
        <v>44</v>
      </c>
      <c r="F41" s="298"/>
    </row>
    <row r="42" spans="2:10">
      <c r="B42" s="299" t="s">
        <v>616</v>
      </c>
      <c r="C42" s="310" t="s">
        <v>617</v>
      </c>
      <c r="D42" s="174" t="s">
        <v>145</v>
      </c>
      <c r="F42" s="300"/>
    </row>
    <row r="43" spans="2:10" ht="25.5">
      <c r="B43" s="299" t="s">
        <v>618</v>
      </c>
      <c r="C43" s="310" t="s">
        <v>619</v>
      </c>
      <c r="D43" s="174" t="s">
        <v>146</v>
      </c>
      <c r="F43" s="300"/>
    </row>
    <row r="44" spans="2:10" ht="51">
      <c r="B44" s="299" t="s">
        <v>620</v>
      </c>
      <c r="C44" s="310" t="s">
        <v>621</v>
      </c>
      <c r="D44" s="174" t="s">
        <v>147</v>
      </c>
      <c r="F44" s="300"/>
    </row>
    <row r="45" spans="2:10" ht="89.25">
      <c r="B45" s="299" t="s">
        <v>622</v>
      </c>
      <c r="C45" s="310" t="s">
        <v>623</v>
      </c>
      <c r="D45" s="179" t="s">
        <v>148</v>
      </c>
      <c r="F45" s="300"/>
    </row>
    <row r="46" spans="2:10" ht="25.5">
      <c r="B46" s="299" t="s">
        <v>624</v>
      </c>
      <c r="C46" s="167" t="s">
        <v>625</v>
      </c>
      <c r="D46" s="173" t="s">
        <v>149</v>
      </c>
      <c r="F46" s="300"/>
    </row>
    <row r="47" spans="2:10" ht="76.5">
      <c r="B47" s="304" t="s">
        <v>626</v>
      </c>
      <c r="C47" s="317" t="s">
        <v>627</v>
      </c>
      <c r="D47" s="318" t="s">
        <v>150</v>
      </c>
      <c r="F47" s="300"/>
    </row>
    <row r="48" spans="2:10" ht="26.25" thickBot="1">
      <c r="B48" s="307" t="s">
        <v>628</v>
      </c>
      <c r="C48" s="315" t="s">
        <v>629</v>
      </c>
      <c r="D48" s="319" t="s">
        <v>151</v>
      </c>
      <c r="F48" s="300"/>
    </row>
    <row r="49" spans="2:10">
      <c r="F49" s="96"/>
      <c r="H49" s="96"/>
      <c r="J49" s="300"/>
    </row>
    <row r="50" spans="2:10" ht="15.75" thickBot="1">
      <c r="F50" s="96"/>
      <c r="H50" s="96"/>
      <c r="J50" s="300"/>
    </row>
    <row r="51" spans="2:10" ht="45" customHeight="1">
      <c r="B51" s="111" t="s">
        <v>109</v>
      </c>
      <c r="C51" s="171" t="s">
        <v>152</v>
      </c>
      <c r="D51" s="172" t="s">
        <v>44</v>
      </c>
      <c r="F51" s="298"/>
    </row>
    <row r="52" spans="2:10">
      <c r="B52" s="299" t="s">
        <v>630</v>
      </c>
      <c r="C52" s="310" t="s">
        <v>631</v>
      </c>
      <c r="D52" s="174" t="s">
        <v>153</v>
      </c>
      <c r="F52" s="300"/>
    </row>
    <row r="53" spans="2:10" ht="38.25">
      <c r="B53" s="301" t="s">
        <v>632</v>
      </c>
      <c r="C53" s="302" t="s">
        <v>633</v>
      </c>
      <c r="D53" s="303" t="s">
        <v>154</v>
      </c>
      <c r="F53" s="300"/>
    </row>
    <row r="54" spans="2:10" ht="25.5">
      <c r="B54" s="299" t="s">
        <v>634</v>
      </c>
      <c r="C54" s="302" t="s">
        <v>635</v>
      </c>
      <c r="D54" s="303" t="s">
        <v>155</v>
      </c>
      <c r="F54" s="300"/>
    </row>
    <row r="55" spans="2:10" ht="38.25">
      <c r="B55" s="301" t="s">
        <v>636</v>
      </c>
      <c r="C55" s="302" t="s">
        <v>637</v>
      </c>
      <c r="D55" s="303" t="s">
        <v>156</v>
      </c>
      <c r="F55" s="300"/>
    </row>
    <row r="56" spans="2:10">
      <c r="B56" s="299" t="s">
        <v>638</v>
      </c>
      <c r="C56" s="302" t="s">
        <v>639</v>
      </c>
      <c r="D56" s="303"/>
      <c r="F56" s="300"/>
    </row>
    <row r="57" spans="2:10" ht="51">
      <c r="B57" s="299" t="s">
        <v>640</v>
      </c>
      <c r="C57" s="302" t="s">
        <v>641</v>
      </c>
      <c r="D57" s="303" t="s">
        <v>157</v>
      </c>
      <c r="F57" s="300"/>
    </row>
    <row r="58" spans="2:10" ht="38.25">
      <c r="B58" s="301" t="s">
        <v>642</v>
      </c>
      <c r="C58" s="302" t="s">
        <v>643</v>
      </c>
      <c r="D58" s="303" t="s">
        <v>158</v>
      </c>
      <c r="F58" s="300"/>
    </row>
    <row r="59" spans="2:10" ht="63.75">
      <c r="B59" s="299" t="s">
        <v>644</v>
      </c>
      <c r="C59" s="302" t="s">
        <v>645</v>
      </c>
      <c r="D59" s="303" t="s">
        <v>159</v>
      </c>
      <c r="F59" s="300"/>
    </row>
    <row r="60" spans="2:10" ht="51">
      <c r="B60" s="301" t="s">
        <v>646</v>
      </c>
      <c r="C60" s="302" t="s">
        <v>647</v>
      </c>
      <c r="D60" s="303" t="s">
        <v>160</v>
      </c>
      <c r="F60" s="300"/>
    </row>
    <row r="61" spans="2:10" ht="38.25">
      <c r="B61" s="299" t="s">
        <v>648</v>
      </c>
      <c r="C61" s="302" t="s">
        <v>649</v>
      </c>
      <c r="D61" s="303" t="s">
        <v>161</v>
      </c>
      <c r="F61" s="300"/>
    </row>
    <row r="62" spans="2:10">
      <c r="B62" s="299" t="s">
        <v>650</v>
      </c>
      <c r="C62" s="302" t="s">
        <v>651</v>
      </c>
      <c r="D62" s="303" t="s">
        <v>162</v>
      </c>
      <c r="F62" s="300"/>
    </row>
    <row r="63" spans="2:10" ht="51">
      <c r="B63" s="301" t="s">
        <v>652</v>
      </c>
      <c r="C63" s="310" t="s">
        <v>653</v>
      </c>
      <c r="D63" s="174" t="s">
        <v>163</v>
      </c>
      <c r="F63" s="300"/>
    </row>
    <row r="64" spans="2:10" ht="51">
      <c r="B64" s="299" t="s">
        <v>654</v>
      </c>
      <c r="C64" s="302" t="s">
        <v>655</v>
      </c>
      <c r="D64" s="303" t="s">
        <v>164</v>
      </c>
      <c r="F64" s="300"/>
    </row>
    <row r="65" spans="2:6" ht="25.5">
      <c r="B65" s="301" t="s">
        <v>656</v>
      </c>
      <c r="C65" s="302" t="s">
        <v>657</v>
      </c>
      <c r="D65" s="303" t="s">
        <v>165</v>
      </c>
      <c r="F65" s="300"/>
    </row>
    <row r="66" spans="2:6" ht="76.5">
      <c r="B66" s="299" t="s">
        <v>658</v>
      </c>
      <c r="C66" s="302" t="s">
        <v>659</v>
      </c>
      <c r="D66" s="303" t="s">
        <v>166</v>
      </c>
      <c r="F66" s="300"/>
    </row>
    <row r="67" spans="2:6" ht="63.75">
      <c r="B67" s="299" t="s">
        <v>660</v>
      </c>
      <c r="C67" s="302" t="s">
        <v>661</v>
      </c>
      <c r="D67" s="303" t="s">
        <v>167</v>
      </c>
      <c r="F67" s="300"/>
    </row>
    <row r="68" spans="2:6" ht="38.25">
      <c r="B68" s="301" t="s">
        <v>662</v>
      </c>
      <c r="C68" s="302" t="s">
        <v>663</v>
      </c>
      <c r="D68" s="303" t="s">
        <v>168</v>
      </c>
      <c r="F68" s="300"/>
    </row>
    <row r="69" spans="2:6" ht="63.75">
      <c r="B69" s="299" t="s">
        <v>664</v>
      </c>
      <c r="C69" s="302" t="s">
        <v>665</v>
      </c>
      <c r="D69" s="303" t="s">
        <v>169</v>
      </c>
      <c r="F69" s="300"/>
    </row>
    <row r="70" spans="2:6" ht="76.5">
      <c r="B70" s="301" t="s">
        <v>666</v>
      </c>
      <c r="C70" s="302" t="s">
        <v>667</v>
      </c>
      <c r="D70" s="303" t="s">
        <v>170</v>
      </c>
      <c r="F70" s="300"/>
    </row>
    <row r="71" spans="2:6" ht="38.25">
      <c r="B71" s="299" t="s">
        <v>668</v>
      </c>
      <c r="C71" s="310" t="s">
        <v>669</v>
      </c>
      <c r="D71" s="174" t="s">
        <v>171</v>
      </c>
      <c r="F71" s="300"/>
    </row>
    <row r="72" spans="2:6" ht="38.25">
      <c r="B72" s="299" t="s">
        <v>670</v>
      </c>
      <c r="C72" s="302" t="s">
        <v>671</v>
      </c>
      <c r="D72" s="303" t="s">
        <v>172</v>
      </c>
      <c r="F72" s="300"/>
    </row>
    <row r="73" spans="2:6" ht="63.75">
      <c r="B73" s="301" t="s">
        <v>672</v>
      </c>
      <c r="C73" s="302" t="s">
        <v>673</v>
      </c>
      <c r="D73" s="303" t="s">
        <v>173</v>
      </c>
      <c r="F73" s="300"/>
    </row>
    <row r="74" spans="2:6" ht="63.75">
      <c r="B74" s="299" t="s">
        <v>674</v>
      </c>
      <c r="C74" s="302" t="s">
        <v>675</v>
      </c>
      <c r="D74" s="303" t="s">
        <v>174</v>
      </c>
      <c r="F74" s="300"/>
    </row>
    <row r="75" spans="2:6">
      <c r="B75" s="301" t="s">
        <v>676</v>
      </c>
      <c r="C75" s="302" t="s">
        <v>677</v>
      </c>
      <c r="D75" s="303"/>
      <c r="F75" s="300"/>
    </row>
    <row r="76" spans="2:6">
      <c r="B76" s="299" t="s">
        <v>678</v>
      </c>
      <c r="C76" s="302" t="s">
        <v>679</v>
      </c>
      <c r="D76" s="303" t="s">
        <v>0</v>
      </c>
      <c r="F76" s="300"/>
    </row>
    <row r="77" spans="2:6">
      <c r="B77" s="299" t="s">
        <v>680</v>
      </c>
      <c r="C77" s="302" t="s">
        <v>681</v>
      </c>
      <c r="D77" s="303"/>
      <c r="F77" s="300"/>
    </row>
    <row r="78" spans="2:6">
      <c r="B78" s="301" t="s">
        <v>682</v>
      </c>
      <c r="C78" s="302" t="s">
        <v>683</v>
      </c>
      <c r="D78" s="303"/>
      <c r="F78" s="300"/>
    </row>
    <row r="79" spans="2:6" ht="25.5">
      <c r="B79" s="299" t="s">
        <v>684</v>
      </c>
      <c r="C79" s="302" t="s">
        <v>685</v>
      </c>
      <c r="D79" s="303" t="s">
        <v>175</v>
      </c>
      <c r="F79" s="300"/>
    </row>
    <row r="80" spans="2:6" ht="63.75">
      <c r="B80" s="301" t="s">
        <v>686</v>
      </c>
      <c r="C80" s="302" t="s">
        <v>687</v>
      </c>
      <c r="D80" s="303" t="s">
        <v>176</v>
      </c>
      <c r="F80" s="300"/>
    </row>
    <row r="81" spans="2:10" ht="38.25">
      <c r="B81" s="299" t="s">
        <v>688</v>
      </c>
      <c r="C81" s="302" t="s">
        <v>689</v>
      </c>
      <c r="D81" s="303" t="s">
        <v>177</v>
      </c>
      <c r="F81" s="300"/>
    </row>
    <row r="82" spans="2:10" ht="63.75">
      <c r="B82" s="299" t="s">
        <v>690</v>
      </c>
      <c r="C82" s="302" t="s">
        <v>691</v>
      </c>
      <c r="D82" s="303" t="s">
        <v>178</v>
      </c>
      <c r="F82" s="300"/>
    </row>
    <row r="83" spans="2:10" ht="51">
      <c r="B83" s="301" t="s">
        <v>692</v>
      </c>
      <c r="C83" s="302" t="s">
        <v>693</v>
      </c>
      <c r="D83" s="303" t="s">
        <v>179</v>
      </c>
      <c r="F83" s="300"/>
    </row>
    <row r="84" spans="2:10" ht="38.25">
      <c r="B84" s="304" t="s">
        <v>694</v>
      </c>
      <c r="C84" s="305" t="s">
        <v>695</v>
      </c>
      <c r="D84" s="306" t="s">
        <v>180</v>
      </c>
      <c r="F84" s="300"/>
    </row>
    <row r="85" spans="2:10" ht="38.25">
      <c r="B85" s="320" t="s">
        <v>696</v>
      </c>
      <c r="C85" s="305" t="s">
        <v>697</v>
      </c>
      <c r="D85" s="306" t="s">
        <v>181</v>
      </c>
      <c r="F85" s="300"/>
    </row>
    <row r="86" spans="2:10" ht="39" thickBot="1">
      <c r="B86" s="307" t="s">
        <v>698</v>
      </c>
      <c r="C86" s="170" t="s">
        <v>699</v>
      </c>
      <c r="D86" s="176" t="s">
        <v>182</v>
      </c>
      <c r="F86" s="300"/>
    </row>
    <row r="87" spans="2:10">
      <c r="F87" s="96"/>
      <c r="H87" s="96"/>
      <c r="J87" s="300"/>
    </row>
    <row r="103" s="95" customFormat="1"/>
    <row r="104" s="95" customFormat="1"/>
    <row r="105" s="95" customFormat="1"/>
    <row r="106" s="95" customFormat="1"/>
    <row r="107" s="95" customFormat="1"/>
    <row r="108" s="95" customFormat="1"/>
    <row r="109" s="95" customFormat="1"/>
    <row r="110" s="95" customFormat="1"/>
    <row r="111" s="95" customFormat="1"/>
    <row r="112" s="95" customFormat="1"/>
    <row r="113" s="95" customFormat="1"/>
    <row r="114" s="95" customFormat="1"/>
    <row r="115" s="95" customFormat="1"/>
    <row r="116" s="95" customFormat="1"/>
    <row r="117" s="95" customFormat="1"/>
    <row r="118" s="95" customFormat="1"/>
    <row r="119" s="95" customFormat="1"/>
    <row r="120" s="95" customFormat="1"/>
    <row r="121" s="95" customFormat="1"/>
    <row r="122" s="95" customFormat="1"/>
    <row r="123" s="95" customFormat="1"/>
    <row r="124" s="95" customFormat="1"/>
    <row r="125" s="95" customFormat="1"/>
    <row r="126" s="95" customFormat="1"/>
    <row r="127" s="95" customFormat="1"/>
    <row r="128" s="95" customFormat="1"/>
    <row r="129" s="95" customFormat="1"/>
    <row r="130" s="95" customFormat="1"/>
    <row r="131" s="95" customFormat="1"/>
    <row r="132" s="95" customFormat="1"/>
    <row r="133" s="95" customFormat="1"/>
    <row r="134" s="95" customFormat="1"/>
    <row r="135" s="95" customFormat="1"/>
    <row r="136" s="95" customFormat="1"/>
    <row r="137" s="95" customFormat="1"/>
    <row r="138" s="95" customFormat="1"/>
    <row r="139" s="95" customFormat="1"/>
    <row r="140" s="95" customFormat="1"/>
    <row r="141" s="95" customFormat="1"/>
    <row r="142" s="95" customFormat="1"/>
    <row r="143" s="95" customFormat="1"/>
    <row r="144" s="95" customFormat="1"/>
    <row r="145" s="95" customFormat="1"/>
    <row r="146" s="95" customFormat="1"/>
    <row r="147" s="95" customFormat="1"/>
    <row r="148" s="95" customFormat="1"/>
    <row r="149" s="95" customFormat="1"/>
    <row r="150" s="95" customFormat="1"/>
    <row r="151" s="95" customFormat="1"/>
    <row r="152" s="95" customFormat="1"/>
    <row r="153" s="95" customFormat="1"/>
    <row r="154" s="95" customFormat="1"/>
    <row r="155" s="95" customFormat="1"/>
    <row r="156" s="95" customFormat="1"/>
    <row r="157" s="95" customFormat="1"/>
    <row r="158" s="95" customFormat="1"/>
    <row r="159" s="95" customFormat="1"/>
    <row r="160" s="95" customFormat="1"/>
    <row r="161" s="95" customFormat="1"/>
    <row r="162" s="95" customFormat="1"/>
    <row r="163" s="95" customFormat="1"/>
    <row r="164" s="95" customFormat="1"/>
    <row r="165" s="95" customFormat="1"/>
    <row r="166" s="95" customFormat="1"/>
    <row r="167" s="95" customFormat="1"/>
    <row r="168" s="95" customFormat="1"/>
    <row r="169" s="95" customFormat="1"/>
    <row r="170" s="95" customFormat="1"/>
    <row r="171" s="95" customFormat="1"/>
    <row r="172" s="95" customFormat="1"/>
    <row r="173" s="95" customFormat="1"/>
    <row r="174" s="95" customFormat="1"/>
    <row r="175" s="95" customFormat="1"/>
    <row r="176" s="95" customFormat="1"/>
    <row r="177" s="95" customFormat="1"/>
    <row r="178" s="95" customFormat="1"/>
    <row r="179" s="95" customFormat="1"/>
    <row r="180" s="95" customFormat="1"/>
    <row r="181" s="95" customFormat="1"/>
    <row r="182" s="95" customFormat="1"/>
    <row r="183" s="95" customFormat="1"/>
    <row r="184" s="95" customFormat="1"/>
    <row r="185" s="95" customFormat="1"/>
    <row r="186" s="95" customFormat="1"/>
    <row r="187" s="95" customFormat="1"/>
    <row r="188" s="95" customFormat="1"/>
    <row r="189" s="95" customFormat="1"/>
    <row r="190" s="95" customFormat="1"/>
    <row r="191" s="95" customFormat="1"/>
    <row r="192" s="95" customFormat="1"/>
    <row r="193" s="95" customFormat="1"/>
    <row r="194" s="95" customFormat="1"/>
    <row r="195" s="95" customFormat="1"/>
    <row r="196" s="95" customFormat="1"/>
    <row r="197" s="95" customFormat="1"/>
    <row r="198" s="95" customFormat="1"/>
    <row r="199" s="95" customFormat="1"/>
    <row r="200" s="95" customFormat="1"/>
    <row r="201" s="95" customFormat="1"/>
    <row r="202" s="95" customFormat="1"/>
    <row r="203" s="95" customFormat="1"/>
    <row r="204" s="95" customFormat="1"/>
    <row r="205" s="95" customFormat="1"/>
    <row r="206" s="95" customFormat="1"/>
    <row r="207" s="95" customFormat="1"/>
    <row r="208" s="95" customFormat="1"/>
    <row r="209" s="95" customFormat="1"/>
    <row r="210" s="95" customFormat="1"/>
    <row r="211" s="95" customFormat="1"/>
    <row r="212" s="95" customFormat="1"/>
    <row r="213" s="95" customFormat="1"/>
    <row r="214" s="95" customFormat="1"/>
    <row r="215" s="95" customFormat="1"/>
    <row r="216" s="95" customFormat="1"/>
    <row r="217" s="95" customFormat="1"/>
    <row r="218" s="95" customFormat="1"/>
    <row r="219" s="95" customFormat="1"/>
    <row r="220" s="95" customFormat="1"/>
    <row r="221" s="95" customFormat="1"/>
    <row r="222" s="95" customFormat="1"/>
    <row r="223" s="95" customFormat="1"/>
    <row r="224" s="95" customFormat="1"/>
    <row r="225" s="95" customFormat="1"/>
    <row r="226" s="95" customFormat="1"/>
    <row r="227" s="95" customFormat="1"/>
    <row r="228" s="95" customFormat="1"/>
    <row r="229" s="95" customFormat="1"/>
    <row r="230" s="95" customFormat="1"/>
    <row r="231" s="95" customFormat="1"/>
    <row r="232" s="95" customFormat="1"/>
    <row r="233" s="95" customFormat="1"/>
    <row r="234" s="95" customFormat="1"/>
    <row r="235" s="95" customFormat="1"/>
    <row r="236" s="95" customFormat="1"/>
    <row r="237" s="95" customFormat="1"/>
    <row r="238" s="95" customFormat="1"/>
    <row r="239" s="95" customFormat="1"/>
    <row r="240" s="95" customFormat="1"/>
    <row r="241" s="95" customFormat="1"/>
    <row r="242" s="95" customFormat="1"/>
    <row r="243" s="95" customFormat="1"/>
    <row r="244" s="95" customFormat="1"/>
    <row r="245" s="95" customFormat="1"/>
    <row r="246" s="95" customFormat="1"/>
    <row r="247" s="95" customFormat="1"/>
    <row r="248" s="95" customFormat="1"/>
    <row r="249" s="95" customFormat="1"/>
    <row r="250" s="95" customFormat="1"/>
    <row r="251" s="95" customFormat="1"/>
    <row r="252" s="95" customFormat="1"/>
    <row r="253" s="95" customFormat="1"/>
    <row r="254" s="95" customFormat="1"/>
  </sheetData>
  <dataConsolidate link="1"/>
  <customSheetViews>
    <customSheetView guid="{1EC8F930-14F4-4F68-ADDF-6F0F0EB721BA}" showGridLines="0">
      <selection activeCell="A2" sqref="A2"/>
      <pageMargins left="0" right="0" top="0" bottom="0" header="0" footer="0"/>
      <printOptions horizontalCentered="1"/>
      <pageSetup paperSize="9" orientation="portrait"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howGridLines="0">
      <selection activeCell="A2" sqref="A2"/>
      <pageMargins left="0" right="0" top="0" bottom="0" header="0" footer="0"/>
      <printOptions horizontalCentered="1"/>
      <pageSetup paperSize="9" orientation="portrait"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phoneticPr fontId="50" type="noConversion"/>
  <hyperlinks>
    <hyperlink ref="E2" r:id="rId3" display="https://en.wikipedia.org/w/index.php?title=Three-phase_traffic_theory_x000a_Following traffic, critical distance between both vehicles" xr:uid="{8FE1E440-02E6-4214-83D6-BABCFEFEE86F}"/>
    <hyperlink ref="E4" r:id="rId4" display="https://en.wikipedia.org/w/index.php?title=Three-phase_traffic_theory_x000a_Traffic congestion_x000a_Heavy speed difference" xr:uid="{8876803D-48C8-4003-A6A4-D1DEBA9987D1}"/>
    <hyperlink ref="D18" r:id="rId5" display="https://en.wikipedia.org/w/index.php?title=Three-phase_traffic_theory" xr:uid="{13263890-EC1B-4510-856E-DED415011927}"/>
    <hyperlink ref="D19" r:id="rId6" xr:uid="{F14BC049-8E65-4FF7-A4DE-886EB894A867}"/>
    <hyperlink ref="D20" r:id="rId7" display="https://en.wikipedia.org/w/index.php?title=Three-phase_traffic_theory_x000a_Traffic congestion_x000a_Heavy speed difference" xr:uid="{2519280B-B570-4909-BD5F-709BC514441A}"/>
    <hyperlink ref="E3" r:id="rId8" display="https://en.wikipedia.org/w/index.php?title=Three-phase_traffic_theory" xr:uid="{EBA197DD-5C30-4302-839C-7A91C7D933BF}"/>
  </hyperlinks>
  <printOptions horizontalCentered="1"/>
  <pageMargins left="0.78740157480314965" right="0.39370078740157483" top="0.78" bottom="0.82677165354330717" header="0.19685039370078741" footer="0.31496062992125984"/>
  <pageSetup paperSize="9" orientation="portrait" r:id="rId9"/>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6">
    <tabColor indexed="22"/>
  </sheetPr>
  <dimension ref="A1:F50"/>
  <sheetViews>
    <sheetView workbookViewId="0">
      <selection activeCell="B6" sqref="B6"/>
    </sheetView>
  </sheetViews>
  <sheetFormatPr defaultColWidth="11.5703125" defaultRowHeight="12.75"/>
  <cols>
    <col min="1" max="1" width="15.7109375" style="37" customWidth="1"/>
    <col min="2" max="2" width="45.5703125" style="37" customWidth="1"/>
    <col min="3" max="3" width="73.7109375" style="37" customWidth="1"/>
    <col min="4" max="16384" width="11.5703125" style="37"/>
  </cols>
  <sheetData>
    <row r="1" spans="1:3">
      <c r="A1" s="139" t="s">
        <v>42</v>
      </c>
      <c r="B1" s="139" t="s">
        <v>43</v>
      </c>
      <c r="C1" s="139" t="s">
        <v>44</v>
      </c>
    </row>
    <row r="2" spans="1:3">
      <c r="A2" s="160" t="s">
        <v>700</v>
      </c>
      <c r="B2" s="160" t="s">
        <v>45</v>
      </c>
      <c r="C2" s="160" t="s">
        <v>46</v>
      </c>
    </row>
    <row r="3" spans="1:3">
      <c r="A3" s="160" t="s">
        <v>701</v>
      </c>
      <c r="B3" s="323" t="s">
        <v>47</v>
      </c>
      <c r="C3" s="323" t="s">
        <v>48</v>
      </c>
    </row>
    <row r="4" spans="1:3" ht="25.5">
      <c r="A4" s="160" t="s">
        <v>702</v>
      </c>
      <c r="B4" s="160" t="s">
        <v>49</v>
      </c>
      <c r="C4" s="325" t="s">
        <v>50</v>
      </c>
    </row>
    <row r="5" spans="1:3" ht="38.25">
      <c r="A5" s="160" t="s">
        <v>703</v>
      </c>
      <c r="B5" s="160" t="s">
        <v>51</v>
      </c>
      <c r="C5" s="326" t="s">
        <v>52</v>
      </c>
    </row>
    <row r="6" spans="1:3">
      <c r="A6" s="160" t="s">
        <v>704</v>
      </c>
      <c r="B6" s="160" t="s">
        <v>53</v>
      </c>
      <c r="C6" s="327" t="s">
        <v>54</v>
      </c>
    </row>
    <row r="7" spans="1:3">
      <c r="A7" s="160" t="s">
        <v>705</v>
      </c>
      <c r="B7" s="160" t="s">
        <v>55</v>
      </c>
      <c r="C7" s="327" t="s">
        <v>56</v>
      </c>
    </row>
    <row r="8" spans="1:3" ht="25.5">
      <c r="A8" s="160" t="s">
        <v>706</v>
      </c>
      <c r="B8" s="160" t="s">
        <v>57</v>
      </c>
      <c r="C8" s="327" t="s">
        <v>58</v>
      </c>
    </row>
    <row r="9" spans="1:3">
      <c r="A9" s="160" t="s">
        <v>707</v>
      </c>
      <c r="B9" s="160" t="s">
        <v>59</v>
      </c>
      <c r="C9" s="327" t="s">
        <v>60</v>
      </c>
    </row>
    <row r="10" spans="1:3">
      <c r="A10" s="160" t="s">
        <v>708</v>
      </c>
      <c r="B10" s="160" t="s">
        <v>61</v>
      </c>
      <c r="C10" s="327" t="s">
        <v>62</v>
      </c>
    </row>
    <row r="11" spans="1:3">
      <c r="A11" s="160" t="s">
        <v>709</v>
      </c>
      <c r="B11" s="44" t="s">
        <v>63</v>
      </c>
      <c r="C11" s="327" t="s">
        <v>64</v>
      </c>
    </row>
    <row r="12" spans="1:3">
      <c r="A12" s="160" t="s">
        <v>710</v>
      </c>
      <c r="B12" s="160" t="s">
        <v>65</v>
      </c>
      <c r="C12" s="327" t="s">
        <v>66</v>
      </c>
    </row>
    <row r="13" spans="1:3">
      <c r="A13" s="160" t="s">
        <v>711</v>
      </c>
      <c r="B13" s="160" t="s">
        <v>67</v>
      </c>
      <c r="C13" s="327" t="s">
        <v>68</v>
      </c>
    </row>
    <row r="14" spans="1:3" ht="25.5">
      <c r="A14" s="160" t="s">
        <v>712</v>
      </c>
      <c r="B14" s="159" t="s">
        <v>69</v>
      </c>
      <c r="C14" s="327" t="s">
        <v>70</v>
      </c>
    </row>
    <row r="15" spans="1:3">
      <c r="A15" s="160" t="s">
        <v>713</v>
      </c>
      <c r="B15" s="160" t="s">
        <v>71</v>
      </c>
      <c r="C15" s="327" t="s">
        <v>72</v>
      </c>
    </row>
    <row r="16" spans="1:3">
      <c r="A16" s="160" t="s">
        <v>714</v>
      </c>
      <c r="B16" s="160" t="s">
        <v>73</v>
      </c>
      <c r="C16" s="327" t="s">
        <v>74</v>
      </c>
    </row>
    <row r="17" spans="1:6">
      <c r="A17" s="160" t="s">
        <v>715</v>
      </c>
      <c r="B17" s="160" t="s">
        <v>75</v>
      </c>
      <c r="C17" s="327" t="s">
        <v>76</v>
      </c>
    </row>
    <row r="18" spans="1:6" ht="25.5">
      <c r="A18" s="160" t="s">
        <v>716</v>
      </c>
      <c r="B18" s="160" t="s">
        <v>77</v>
      </c>
      <c r="C18" s="327" t="s">
        <v>78</v>
      </c>
    </row>
    <row r="19" spans="1:6">
      <c r="A19" s="160" t="s">
        <v>717</v>
      </c>
      <c r="B19" s="160" t="s">
        <v>79</v>
      </c>
      <c r="C19" s="327" t="s">
        <v>80</v>
      </c>
    </row>
    <row r="20" spans="1:6">
      <c r="A20" s="160" t="s">
        <v>718</v>
      </c>
      <c r="B20" s="160" t="s">
        <v>81</v>
      </c>
      <c r="C20" s="327" t="s">
        <v>82</v>
      </c>
    </row>
    <row r="21" spans="1:6">
      <c r="A21" s="160" t="s">
        <v>719</v>
      </c>
      <c r="B21" s="160" t="s">
        <v>83</v>
      </c>
      <c r="C21" s="327" t="s">
        <v>84</v>
      </c>
    </row>
    <row r="22" spans="1:6" ht="38.25">
      <c r="A22" s="160" t="s">
        <v>720</v>
      </c>
      <c r="B22" s="160" t="s">
        <v>85</v>
      </c>
      <c r="C22" s="327" t="s">
        <v>86</v>
      </c>
    </row>
    <row r="23" spans="1:6" ht="38.25">
      <c r="A23" s="160" t="s">
        <v>721</v>
      </c>
      <c r="B23" s="160" t="s">
        <v>87</v>
      </c>
      <c r="C23" s="327" t="s">
        <v>88</v>
      </c>
    </row>
    <row r="24" spans="1:6" ht="28.9" customHeight="1">
      <c r="A24" s="160" t="s">
        <v>722</v>
      </c>
      <c r="B24" s="38" t="s">
        <v>89</v>
      </c>
      <c r="C24" s="328" t="s">
        <v>90</v>
      </c>
    </row>
    <row r="25" spans="1:6" ht="25.5">
      <c r="A25" s="160" t="s">
        <v>723</v>
      </c>
      <c r="B25" s="160" t="s">
        <v>91</v>
      </c>
      <c r="C25" s="327" t="s">
        <v>92</v>
      </c>
    </row>
    <row r="26" spans="1:6">
      <c r="A26" s="160" t="s">
        <v>724</v>
      </c>
      <c r="B26" s="160" t="s">
        <v>93</v>
      </c>
      <c r="C26" s="327" t="s">
        <v>94</v>
      </c>
    </row>
    <row r="27" spans="1:6">
      <c r="A27" s="160" t="s">
        <v>725</v>
      </c>
      <c r="B27" s="160" t="s">
        <v>95</v>
      </c>
      <c r="C27" s="327" t="s">
        <v>96</v>
      </c>
    </row>
    <row r="28" spans="1:6" ht="51">
      <c r="A28" s="160" t="s">
        <v>726</v>
      </c>
      <c r="B28" s="44" t="s">
        <v>97</v>
      </c>
      <c r="C28" s="327" t="s">
        <v>98</v>
      </c>
    </row>
    <row r="29" spans="1:6" ht="38.25">
      <c r="A29" s="160" t="s">
        <v>727</v>
      </c>
      <c r="B29" s="34" t="s">
        <v>99</v>
      </c>
      <c r="C29" s="34" t="s">
        <v>100</v>
      </c>
    </row>
    <row r="30" spans="1:6" ht="38.25">
      <c r="A30" s="160" t="s">
        <v>728</v>
      </c>
      <c r="B30" s="38" t="s">
        <v>101</v>
      </c>
      <c r="C30" s="34" t="s">
        <v>102</v>
      </c>
    </row>
    <row r="31" spans="1:6" ht="25.5">
      <c r="A31" s="160" t="s">
        <v>729</v>
      </c>
      <c r="B31" s="160" t="s">
        <v>103</v>
      </c>
      <c r="C31" s="327" t="s">
        <v>104</v>
      </c>
    </row>
    <row r="32" spans="1:6">
      <c r="A32" s="160" t="s">
        <v>730</v>
      </c>
      <c r="B32" s="160" t="s">
        <v>105</v>
      </c>
      <c r="C32" s="327" t="s">
        <v>106</v>
      </c>
      <c r="F32" s="37" t="s">
        <v>0</v>
      </c>
    </row>
    <row r="33" spans="1:3" ht="51">
      <c r="A33" s="321" t="s">
        <v>731</v>
      </c>
      <c r="B33" s="240" t="s">
        <v>107</v>
      </c>
      <c r="C33" s="240" t="s">
        <v>108</v>
      </c>
    </row>
    <row r="34" spans="1:3">
      <c r="A34" s="324"/>
      <c r="B34" s="324"/>
      <c r="C34" s="324"/>
    </row>
    <row r="35" spans="1:3">
      <c r="A35" s="324"/>
      <c r="B35" s="324"/>
      <c r="C35" s="324"/>
    </row>
    <row r="49" s="37" customFormat="1"/>
    <row r="50" s="37" customFormat="1"/>
  </sheetData>
  <customSheetViews>
    <customSheetView guid="{1EC8F930-14F4-4F68-ADDF-6F0F0EB721BA}">
      <selection activeCell="B26" sqref="B26"/>
      <pageMargins left="0" right="0" top="0" bottom="0" header="0" footer="0"/>
      <pageSetup paperSize="9" orientation="portrait" r:id="rId1"/>
    </customSheetView>
    <customSheetView guid="{97C31678-F053-4946-809D-FA0B847F2A76}">
      <selection activeCell="A14" sqref="A14"/>
      <pageMargins left="0" right="0" top="0" bottom="0" header="0" footer="0"/>
      <pageSetup paperSize="9" orientation="portrait" r:id="rId2"/>
    </customSheetView>
  </customSheetViews>
  <pageMargins left="0.7" right="0.7" top="0.78740157499999996" bottom="0.78740157499999996"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pageSetUpPr fitToPage="1"/>
  </sheetPr>
  <dimension ref="A1:F21"/>
  <sheetViews>
    <sheetView zoomScaleNormal="100" workbookViewId="0">
      <pane xSplit="2" ySplit="4" topLeftCell="C5" activePane="bottomRight" state="frozen"/>
      <selection pane="topRight" activeCell="C1" sqref="C1"/>
      <selection pane="bottomLeft" activeCell="A5" sqref="A5"/>
      <selection pane="bottomRight" activeCell="F12" sqref="F12"/>
    </sheetView>
  </sheetViews>
  <sheetFormatPr defaultColWidth="11.42578125" defaultRowHeight="12.75"/>
  <cols>
    <col min="1" max="1" width="16.5703125" customWidth="1"/>
    <col min="2" max="2" width="10.28515625" bestFit="1" customWidth="1"/>
    <col min="3" max="3" width="31.140625" customWidth="1"/>
    <col min="4" max="4" width="30.7109375" customWidth="1"/>
    <col min="5" max="5" width="33.42578125" customWidth="1"/>
    <col min="6" max="6" width="30.7109375" customWidth="1"/>
  </cols>
  <sheetData>
    <row r="1" spans="1:6" ht="18">
      <c r="A1" s="374" t="s">
        <v>183</v>
      </c>
      <c r="B1" s="374"/>
      <c r="C1" s="374"/>
      <c r="D1" s="374"/>
      <c r="E1" s="374"/>
      <c r="F1" s="374"/>
    </row>
    <row r="2" spans="1:6" ht="13.5" thickBot="1">
      <c r="A2" s="181"/>
      <c r="B2" s="181"/>
      <c r="C2" s="181"/>
      <c r="D2" s="181"/>
      <c r="E2" s="181"/>
      <c r="F2" s="181"/>
    </row>
    <row r="3" spans="1:6">
      <c r="A3" s="370"/>
      <c r="B3" s="371"/>
      <c r="C3" s="42"/>
      <c r="D3" s="377" t="s">
        <v>184</v>
      </c>
      <c r="E3" s="378"/>
      <c r="F3" s="379"/>
    </row>
    <row r="4" spans="1:6" ht="26.25" thickBot="1">
      <c r="A4" s="372"/>
      <c r="B4" s="373"/>
      <c r="C4" s="48"/>
      <c r="D4" s="146" t="s">
        <v>829</v>
      </c>
      <c r="E4" s="147" t="s">
        <v>830</v>
      </c>
      <c r="F4" s="147" t="s">
        <v>831</v>
      </c>
    </row>
    <row r="5" spans="1:6" ht="38.25">
      <c r="A5" s="375" t="s">
        <v>185</v>
      </c>
      <c r="B5" s="115" t="s">
        <v>186</v>
      </c>
      <c r="C5" s="118" t="s">
        <v>187</v>
      </c>
      <c r="D5" s="333" t="s">
        <v>754</v>
      </c>
      <c r="E5" s="333" t="s">
        <v>753</v>
      </c>
      <c r="F5" s="334" t="s">
        <v>755</v>
      </c>
    </row>
    <row r="6" spans="1:6" ht="38.25">
      <c r="A6" s="375"/>
      <c r="B6" s="115" t="s">
        <v>188</v>
      </c>
      <c r="C6" s="119" t="s">
        <v>189</v>
      </c>
      <c r="D6" s="335" t="s">
        <v>756</v>
      </c>
      <c r="E6" s="335" t="s">
        <v>832</v>
      </c>
      <c r="F6" s="335" t="s">
        <v>833</v>
      </c>
    </row>
    <row r="7" spans="1:6" ht="38.25">
      <c r="A7" s="375"/>
      <c r="B7" s="115" t="s">
        <v>190</v>
      </c>
      <c r="C7" s="119" t="s">
        <v>545</v>
      </c>
      <c r="D7" s="336" t="s">
        <v>757</v>
      </c>
      <c r="E7" s="336" t="s">
        <v>757</v>
      </c>
      <c r="F7" s="336" t="s">
        <v>757</v>
      </c>
    </row>
    <row r="8" spans="1:6" ht="38.25">
      <c r="A8" s="375"/>
      <c r="B8" s="115" t="s">
        <v>191</v>
      </c>
      <c r="C8" s="119" t="s">
        <v>546</v>
      </c>
      <c r="D8" s="336" t="s">
        <v>757</v>
      </c>
      <c r="E8" s="336" t="s">
        <v>757</v>
      </c>
      <c r="F8" s="336" t="s">
        <v>757</v>
      </c>
    </row>
    <row r="9" spans="1:6" ht="25.5">
      <c r="A9" s="375"/>
      <c r="B9" s="115" t="s">
        <v>192</v>
      </c>
      <c r="C9" s="119" t="s">
        <v>193</v>
      </c>
      <c r="D9" s="336" t="s">
        <v>757</v>
      </c>
      <c r="E9" s="336" t="s">
        <v>758</v>
      </c>
      <c r="F9" s="336" t="s">
        <v>757</v>
      </c>
    </row>
    <row r="10" spans="1:6" ht="25.5">
      <c r="A10" s="375"/>
      <c r="B10" s="116" t="s">
        <v>194</v>
      </c>
      <c r="C10" s="119" t="s">
        <v>195</v>
      </c>
      <c r="D10" s="336" t="s">
        <v>757</v>
      </c>
      <c r="E10" s="336" t="s">
        <v>758</v>
      </c>
      <c r="F10" s="336" t="s">
        <v>757</v>
      </c>
    </row>
    <row r="11" spans="1:6" ht="38.25">
      <c r="A11" s="375"/>
      <c r="B11" s="116" t="s">
        <v>196</v>
      </c>
      <c r="C11" s="119" t="s">
        <v>197</v>
      </c>
      <c r="D11" s="336" t="s">
        <v>759</v>
      </c>
      <c r="E11" s="336" t="s">
        <v>759</v>
      </c>
      <c r="F11" s="336" t="s">
        <v>759</v>
      </c>
    </row>
    <row r="12" spans="1:6" ht="51.75" thickBot="1">
      <c r="A12" s="376"/>
      <c r="B12" s="117" t="s">
        <v>198</v>
      </c>
      <c r="C12" s="120" t="s">
        <v>199</v>
      </c>
      <c r="D12" s="148" t="s">
        <v>760</v>
      </c>
      <c r="E12" s="148" t="s">
        <v>761</v>
      </c>
      <c r="F12" s="148" t="s">
        <v>762</v>
      </c>
    </row>
    <row r="18" ht="12.75" customHeight="1"/>
    <row r="19" ht="12.75" customHeight="1"/>
    <row r="20" ht="13.5" customHeight="1"/>
    <row r="21" ht="13.5" customHeight="1"/>
  </sheetData>
  <customSheetViews>
    <customSheetView guid="{1EC8F930-14F4-4F68-ADDF-6F0F0EB721BA}" fitToPage="1">
      <pane xSplit="2" ySplit="4" topLeftCell="C5" activePane="bottomRight" state="frozen"/>
      <selection pane="bottomRight" activeCell="D5" sqref="D5"/>
      <pageMargins left="0" right="0" top="0" bottom="0" header="0" footer="0"/>
      <pageSetup paperSize="9" scale="73" orientation="landscape" r:id="rId1"/>
      <headerFooter alignWithMargins="0"/>
    </customSheetView>
    <customSheetView guid="{97C31678-F053-4946-809D-FA0B847F2A76}" fitToPage="1">
      <pane xSplit="2" ySplit="4" topLeftCell="C5" activePane="bottomRight" state="frozen"/>
      <selection pane="bottomRight" activeCell="D6" sqref="D6"/>
      <pageMargins left="0" right="0" top="0" bottom="0" header="0" footer="0"/>
      <pageSetup paperSize="9" scale="73" orientation="landscape" r:id="rId2"/>
      <headerFooter alignWithMargins="0"/>
    </customSheetView>
  </customSheetViews>
  <mergeCells count="4">
    <mergeCell ref="A3:B4"/>
    <mergeCell ref="A1:F1"/>
    <mergeCell ref="A5:A12"/>
    <mergeCell ref="D3:F3"/>
  </mergeCells>
  <phoneticPr fontId="13" type="noConversion"/>
  <pageMargins left="0.75" right="0.75" top="1" bottom="1" header="0.4921259845" footer="0.4921259845"/>
  <pageSetup paperSize="9" scale="73" orientation="landscape" r:id="rId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1:H8"/>
  <sheetViews>
    <sheetView workbookViewId="0">
      <selection activeCell="E7" sqref="E7"/>
    </sheetView>
  </sheetViews>
  <sheetFormatPr defaultColWidth="11.42578125" defaultRowHeight="12.75"/>
  <cols>
    <col min="1" max="1" width="6.140625" style="5" customWidth="1"/>
    <col min="2" max="2" width="40" style="161" bestFit="1" customWidth="1"/>
    <col min="3" max="3" width="15.42578125" style="5" customWidth="1"/>
    <col min="4" max="4" width="73.85546875" style="1" customWidth="1"/>
    <col min="5" max="5" width="55.42578125" customWidth="1"/>
    <col min="6" max="6" width="37.7109375" customWidth="1"/>
    <col min="7" max="7" width="11.5703125" customWidth="1"/>
    <col min="8" max="8" width="5.5703125" customWidth="1"/>
  </cols>
  <sheetData>
    <row r="1" spans="1:8" ht="18">
      <c r="A1" s="380" t="s">
        <v>200</v>
      </c>
      <c r="B1" s="380"/>
      <c r="C1" s="380"/>
      <c r="D1" s="380"/>
      <c r="E1" s="380"/>
      <c r="F1" s="380"/>
      <c r="G1" s="263"/>
      <c r="H1" s="263"/>
    </row>
    <row r="3" spans="1:8" s="6" customFormat="1" ht="76.5">
      <c r="A3" s="43" t="s">
        <v>201</v>
      </c>
      <c r="B3" s="139" t="s">
        <v>25</v>
      </c>
      <c r="C3" s="43" t="s">
        <v>202</v>
      </c>
      <c r="D3" s="139" t="s">
        <v>44</v>
      </c>
      <c r="E3" s="139" t="s">
        <v>203</v>
      </c>
      <c r="F3" s="139" t="s">
        <v>559</v>
      </c>
    </row>
    <row r="4" spans="1:8" s="37" customFormat="1" ht="25.5">
      <c r="A4" s="160" t="s">
        <v>794</v>
      </c>
      <c r="B4" s="44" t="s">
        <v>795</v>
      </c>
      <c r="C4" s="44" t="s">
        <v>796</v>
      </c>
      <c r="D4" s="44" t="s">
        <v>797</v>
      </c>
      <c r="E4" s="44" t="s">
        <v>798</v>
      </c>
      <c r="F4" s="44" t="s">
        <v>799</v>
      </c>
    </row>
    <row r="5" spans="1:8" s="37" customFormat="1" ht="25.5">
      <c r="A5" s="160" t="s">
        <v>800</v>
      </c>
      <c r="B5" s="44" t="s">
        <v>795</v>
      </c>
      <c r="C5" s="44" t="s">
        <v>796</v>
      </c>
      <c r="D5" s="44" t="s">
        <v>803</v>
      </c>
      <c r="E5" s="44" t="s">
        <v>798</v>
      </c>
      <c r="F5" s="44" t="s">
        <v>799</v>
      </c>
    </row>
    <row r="6" spans="1:8" s="37" customFormat="1" ht="38.25">
      <c r="A6" s="160" t="s">
        <v>801</v>
      </c>
      <c r="B6" s="125" t="s">
        <v>802</v>
      </c>
      <c r="C6" s="44" t="s">
        <v>804</v>
      </c>
      <c r="D6" s="44" t="s">
        <v>822</v>
      </c>
      <c r="E6" s="44" t="s">
        <v>823</v>
      </c>
      <c r="F6" s="44" t="s">
        <v>824</v>
      </c>
    </row>
    <row r="7" spans="1:8" s="37" customFormat="1" ht="28.5" customHeight="1">
      <c r="A7" s="160" t="s">
        <v>820</v>
      </c>
      <c r="B7" s="125" t="s">
        <v>819</v>
      </c>
      <c r="C7" s="44" t="s">
        <v>220</v>
      </c>
      <c r="D7" s="44" t="s">
        <v>825</v>
      </c>
      <c r="E7" s="44" t="s">
        <v>826</v>
      </c>
      <c r="F7" s="44" t="s">
        <v>799</v>
      </c>
    </row>
    <row r="8" spans="1:8" s="37" customFormat="1" ht="28.5" customHeight="1">
      <c r="A8" s="160" t="s">
        <v>821</v>
      </c>
      <c r="B8" s="125" t="s">
        <v>819</v>
      </c>
      <c r="C8" s="44" t="s">
        <v>220</v>
      </c>
      <c r="D8" s="44" t="s">
        <v>828</v>
      </c>
      <c r="E8" s="44" t="s">
        <v>827</v>
      </c>
      <c r="F8" s="44" t="s">
        <v>799</v>
      </c>
    </row>
  </sheetData>
  <customSheetViews>
    <customSheetView guid="{1EC8F930-14F4-4F68-ADDF-6F0F0EB721BA}">
      <selection activeCell="D7" sqref="D7"/>
      <pageMargins left="0" right="0" top="0" bottom="0" header="0" footer="0"/>
      <printOptions horizontalCentered="1"/>
      <pageSetup paperSize="9" fitToHeight="0" orientation="landscape"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election activeCell="D7" sqref="D7"/>
      <pageMargins left="0" right="0" top="0" bottom="0" header="0" footer="0"/>
      <printOptions horizontalCentered="1"/>
      <pageSetup paperSize="9" fitToHeight="0" orientation="landscape"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1">
    <mergeCell ref="A1:F1"/>
  </mergeCells>
  <phoneticPr fontId="50" type="noConversion"/>
  <dataValidations count="1">
    <dataValidation type="list" allowBlank="1" showInputMessage="1" showErrorMessage="1" sqref="C4:C8" xr:uid="{00000000-0002-0000-0600-000000000000}">
      <formula1>"Behavioral,Vehicle,Other Systems,Controllability"</formula1>
    </dataValidation>
  </dataValidations>
  <printOptions horizontalCentered="1"/>
  <pageMargins left="0.78740157480314965" right="0.39370078740157483" top="0.78" bottom="0.82677165354330717" header="0.19685039370078741" footer="0.31496062992125984"/>
  <pageSetup paperSize="9" fitToHeight="0" orientation="landscape" r:id="rId3"/>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pageSetUpPr fitToPage="1"/>
  </sheetPr>
  <dimension ref="A1:AI497"/>
  <sheetViews>
    <sheetView showGridLines="0" defaultGridColor="0" colorId="23" workbookViewId="0">
      <pane ySplit="3" topLeftCell="A4" activePane="bottomLeft" state="frozen"/>
      <selection activeCell="Z1" sqref="Z1"/>
      <selection pane="bottomLeft" activeCell="C19" sqref="C19"/>
    </sheetView>
  </sheetViews>
  <sheetFormatPr defaultColWidth="11.42578125" defaultRowHeight="12.75" outlineLevelCol="1"/>
  <cols>
    <col min="1" max="1" width="27.7109375" style="128" customWidth="1"/>
    <col min="2" max="2" width="13.5703125" style="128" customWidth="1" outlineLevel="1"/>
    <col min="3" max="3" width="12.85546875" style="128" customWidth="1" outlineLevel="1"/>
    <col min="4" max="4" width="26.5703125" style="128" customWidth="1" outlineLevel="1"/>
    <col min="5" max="5" width="24.140625" style="128" customWidth="1"/>
    <col min="6" max="10" width="30.7109375" style="128" customWidth="1"/>
    <col min="11" max="12" width="30.7109375" style="140" customWidth="1" outlineLevel="1"/>
    <col min="13" max="13" width="23.5703125" style="140" customWidth="1"/>
    <col min="14" max="14" width="30.140625" style="128" customWidth="1" outlineLevel="1"/>
    <col min="15" max="15" width="30.140625" style="125" customWidth="1" outlineLevel="1"/>
    <col min="16" max="16" width="7.7109375" style="136" customWidth="1"/>
    <col min="17" max="17" width="24.42578125" style="128" customWidth="1"/>
    <col min="18" max="18" width="7.7109375" style="136" customWidth="1"/>
    <col min="19" max="19" width="31.5703125" style="164" customWidth="1"/>
    <col min="20" max="20" width="7.7109375" style="162" customWidth="1"/>
    <col min="21" max="21" width="29.42578125" style="164" customWidth="1"/>
    <col min="22" max="23" width="21.42578125" style="38" customWidth="1"/>
    <col min="24" max="24" width="7.7109375" style="38" customWidth="1"/>
    <col min="25" max="25" width="10.7109375" style="38" customWidth="1"/>
    <col min="26" max="26" width="21.42578125" style="38" customWidth="1"/>
    <col min="27" max="27" width="35.85546875" style="137" customWidth="1"/>
    <col min="28" max="28" width="22.140625" style="137" customWidth="1"/>
    <col min="29" max="29" width="35.85546875" style="137" customWidth="1"/>
    <col min="30" max="30" width="12.28515625" style="137" customWidth="1"/>
    <col min="31" max="31" width="30.140625" style="137" customWidth="1"/>
    <col min="32" max="32" width="11.42578125" style="164"/>
    <col min="33" max="16384" width="11.42578125" style="128"/>
  </cols>
  <sheetData>
    <row r="1" spans="1:35" ht="18">
      <c r="A1" s="144"/>
      <c r="B1" s="384" t="str">
        <f>'Cover Page'!B8:C8</f>
        <v>Mode Card</v>
      </c>
      <c r="C1" s="385"/>
      <c r="D1" s="385"/>
      <c r="E1" s="385"/>
      <c r="F1" s="385"/>
      <c r="G1" s="385"/>
      <c r="H1" s="385"/>
      <c r="I1" s="385"/>
      <c r="J1" s="385"/>
      <c r="K1" s="385"/>
      <c r="L1" s="385"/>
      <c r="M1" s="385"/>
      <c r="N1" s="385"/>
      <c r="O1" s="385"/>
      <c r="P1" s="385"/>
      <c r="Q1" s="385"/>
      <c r="R1" s="385"/>
      <c r="S1" s="385"/>
      <c r="T1" s="385"/>
      <c r="U1" s="385"/>
      <c r="V1" s="385"/>
      <c r="W1" s="385"/>
      <c r="X1" s="385"/>
      <c r="Y1" s="385"/>
      <c r="Z1" s="386"/>
      <c r="AA1" s="126"/>
      <c r="AB1" s="126"/>
      <c r="AC1" s="126"/>
      <c r="AD1" s="126"/>
      <c r="AE1" s="126"/>
      <c r="AF1" s="130"/>
      <c r="AG1" s="130"/>
      <c r="AH1" s="130"/>
      <c r="AI1" s="130"/>
    </row>
    <row r="2" spans="1:35" s="129" customFormat="1" ht="38.25">
      <c r="A2" s="43" t="s">
        <v>204</v>
      </c>
      <c r="B2" s="381" t="s">
        <v>205</v>
      </c>
      <c r="C2" s="381"/>
      <c r="D2" s="381"/>
      <c r="E2" s="139" t="s">
        <v>206</v>
      </c>
      <c r="F2" s="139" t="s">
        <v>207</v>
      </c>
      <c r="G2" s="139" t="s">
        <v>208</v>
      </c>
      <c r="H2" s="139" t="s">
        <v>209</v>
      </c>
      <c r="I2" s="139" t="s">
        <v>210</v>
      </c>
      <c r="J2" s="139" t="s">
        <v>211</v>
      </c>
      <c r="K2" s="139" t="s">
        <v>212</v>
      </c>
      <c r="L2" s="139" t="s">
        <v>213</v>
      </c>
      <c r="M2" s="139" t="s">
        <v>43</v>
      </c>
      <c r="N2" s="139" t="s">
        <v>200</v>
      </c>
      <c r="O2" s="139" t="s">
        <v>214</v>
      </c>
      <c r="P2" s="139" t="s">
        <v>215</v>
      </c>
      <c r="Q2" s="139" t="s">
        <v>216</v>
      </c>
      <c r="R2" s="139" t="s">
        <v>217</v>
      </c>
      <c r="S2" s="139" t="s">
        <v>218</v>
      </c>
      <c r="T2" s="139" t="s">
        <v>219</v>
      </c>
      <c r="U2" s="139" t="s">
        <v>220</v>
      </c>
      <c r="V2" s="382" t="s">
        <v>221</v>
      </c>
      <c r="W2" s="383"/>
      <c r="X2" s="139" t="s">
        <v>222</v>
      </c>
      <c r="Y2" s="382" t="s">
        <v>223</v>
      </c>
      <c r="Z2" s="383"/>
      <c r="AA2" s="139" t="s">
        <v>562</v>
      </c>
      <c r="AB2" s="139" t="s">
        <v>561</v>
      </c>
      <c r="AC2" s="139" t="s">
        <v>553</v>
      </c>
      <c r="AD2" s="139" t="s">
        <v>224</v>
      </c>
      <c r="AE2" s="139" t="s">
        <v>225</v>
      </c>
      <c r="AF2" s="131"/>
      <c r="AG2" s="131"/>
      <c r="AH2" s="131"/>
      <c r="AI2" s="131"/>
    </row>
    <row r="3" spans="1:35" ht="63.75">
      <c r="A3" s="132" t="s">
        <v>226</v>
      </c>
      <c r="B3" s="139" t="s">
        <v>227</v>
      </c>
      <c r="C3" s="139" t="s">
        <v>228</v>
      </c>
      <c r="D3" s="139" t="s">
        <v>25</v>
      </c>
      <c r="E3" s="132" t="s">
        <v>229</v>
      </c>
      <c r="F3" s="132" t="s">
        <v>230</v>
      </c>
      <c r="G3" s="132" t="s">
        <v>230</v>
      </c>
      <c r="H3" s="132" t="s">
        <v>230</v>
      </c>
      <c r="I3" s="132" t="s">
        <v>230</v>
      </c>
      <c r="J3" s="132" t="s">
        <v>231</v>
      </c>
      <c r="K3" s="83" t="s">
        <v>232</v>
      </c>
      <c r="L3" s="83" t="s">
        <v>233</v>
      </c>
      <c r="M3" s="132" t="s">
        <v>234</v>
      </c>
      <c r="N3" s="83" t="s">
        <v>235</v>
      </c>
      <c r="O3" s="251" t="s">
        <v>236</v>
      </c>
      <c r="P3" s="133" t="s">
        <v>202</v>
      </c>
      <c r="Q3" s="139" t="s">
        <v>237</v>
      </c>
      <c r="R3" s="133" t="s">
        <v>202</v>
      </c>
      <c r="S3" s="139" t="s">
        <v>238</v>
      </c>
      <c r="T3" s="133" t="s">
        <v>202</v>
      </c>
      <c r="U3" s="139" t="s">
        <v>239</v>
      </c>
      <c r="V3" s="139" t="s">
        <v>240</v>
      </c>
      <c r="W3" s="139" t="s">
        <v>241</v>
      </c>
      <c r="X3" s="135"/>
      <c r="Y3" s="135" t="s">
        <v>242</v>
      </c>
      <c r="Z3" s="135" t="s">
        <v>25</v>
      </c>
      <c r="AA3" s="132"/>
      <c r="AB3" s="132" t="s">
        <v>552</v>
      </c>
      <c r="AC3" s="132"/>
      <c r="AD3" s="139"/>
      <c r="AE3" s="134"/>
      <c r="AF3" s="127"/>
      <c r="AG3" s="127"/>
      <c r="AH3" s="127"/>
      <c r="AI3" s="130"/>
    </row>
    <row r="4" spans="1:35" s="150" customFormat="1" ht="36">
      <c r="A4" s="151" t="s">
        <v>763</v>
      </c>
      <c r="B4" s="151" t="s">
        <v>764</v>
      </c>
      <c r="C4" s="151" t="s">
        <v>186</v>
      </c>
      <c r="D4" s="151" t="s">
        <v>752</v>
      </c>
      <c r="E4" s="151" t="s">
        <v>765</v>
      </c>
      <c r="F4" s="151" t="s">
        <v>570</v>
      </c>
      <c r="G4" s="151" t="s">
        <v>580</v>
      </c>
      <c r="H4" s="151" t="s">
        <v>599</v>
      </c>
      <c r="I4" s="151" t="s">
        <v>617</v>
      </c>
      <c r="J4" s="151" t="s">
        <v>631</v>
      </c>
      <c r="K4" s="152" t="s">
        <v>766</v>
      </c>
      <c r="L4" s="337" t="s">
        <v>767</v>
      </c>
      <c r="M4" s="151" t="s">
        <v>45</v>
      </c>
      <c r="N4" s="151"/>
      <c r="O4" s="157" t="s">
        <v>768</v>
      </c>
      <c r="P4" s="152" t="s">
        <v>323</v>
      </c>
      <c r="Q4" s="157" t="s">
        <v>769</v>
      </c>
      <c r="R4" s="152"/>
      <c r="S4" s="151"/>
      <c r="T4" s="152"/>
      <c r="U4" s="151"/>
      <c r="V4" s="151"/>
      <c r="W4" s="245"/>
      <c r="X4" s="155" t="str">
        <f t="shared" ref="X4:X64" si="0">IF(AND(ISBLANK(S_Wert),ISBLANK(E_Wert),ISBLANK(C_Wert)),"",IF(OR(S_Wert="S0",C_Wert="C0"),"",IF(E_Wert="E0","QM",IF(AND(S_Wert="-",E_Wert="-",C_Wert="-"),"?",VLOOKUP(S_Wert&amp;E_Wert,ASIL_Tabelle,MATCH(C_Wert,Controllability,0)+1,FALSE)))))</f>
        <v/>
      </c>
      <c r="Y4" s="152"/>
      <c r="Z4" s="158" t="str">
        <f>IF(ISERROR(VLOOKUP(Y4,'4 - SGs'!$A$4:$E$24,2)),"",VLOOKUP(Y4,'4 - SGs'!$A$4:$E$24,2))</f>
        <v/>
      </c>
      <c r="AA4" s="149"/>
      <c r="AB4" s="149"/>
      <c r="AC4" s="149"/>
      <c r="AD4" s="149"/>
      <c r="AE4" s="149"/>
      <c r="AF4" s="149"/>
      <c r="AG4" s="149"/>
      <c r="AH4" s="149"/>
    </row>
    <row r="5" spans="1:35" s="150" customFormat="1" ht="48">
      <c r="A5" s="151" t="s">
        <v>774</v>
      </c>
      <c r="B5" s="151" t="s">
        <v>770</v>
      </c>
      <c r="C5" s="151" t="s">
        <v>186</v>
      </c>
      <c r="D5" s="151" t="s">
        <v>752</v>
      </c>
      <c r="E5" s="151" t="s">
        <v>778</v>
      </c>
      <c r="F5" s="151" t="s">
        <v>570</v>
      </c>
      <c r="G5" s="151" t="s">
        <v>580</v>
      </c>
      <c r="H5" s="151" t="s">
        <v>599</v>
      </c>
      <c r="I5" s="151" t="s">
        <v>617</v>
      </c>
      <c r="J5" s="151" t="s">
        <v>631</v>
      </c>
      <c r="K5" s="152" t="s">
        <v>766</v>
      </c>
      <c r="L5" s="337" t="s">
        <v>767</v>
      </c>
      <c r="M5" s="151" t="s">
        <v>45</v>
      </c>
      <c r="N5" s="151"/>
      <c r="O5" s="157" t="s">
        <v>768</v>
      </c>
      <c r="P5" s="152" t="s">
        <v>323</v>
      </c>
      <c r="Q5" s="157" t="s">
        <v>769</v>
      </c>
      <c r="R5" s="152"/>
      <c r="S5" s="151"/>
      <c r="T5" s="152"/>
      <c r="U5" s="151"/>
      <c r="V5" s="151"/>
      <c r="W5" s="151"/>
      <c r="X5" s="155" t="str">
        <f t="shared" si="0"/>
        <v/>
      </c>
      <c r="Y5" s="152"/>
      <c r="Z5" s="158" t="str">
        <f>IF(ISERROR(VLOOKUP(Y5,'4 - SGs'!$A$4:$E$24,2)),"",VLOOKUP(Y5,'4 - SGs'!$A$4:$E$24,2))</f>
        <v/>
      </c>
      <c r="AA5" s="149"/>
      <c r="AB5" s="149"/>
      <c r="AC5" s="149"/>
      <c r="AD5" s="149"/>
      <c r="AE5" s="149"/>
      <c r="AF5" s="149"/>
      <c r="AG5" s="149"/>
      <c r="AH5" s="149"/>
    </row>
    <row r="6" spans="1:35" s="150" customFormat="1" ht="36">
      <c r="A6" s="151" t="s">
        <v>773</v>
      </c>
      <c r="B6" s="151" t="s">
        <v>780</v>
      </c>
      <c r="C6" s="151" t="s">
        <v>186</v>
      </c>
      <c r="D6" s="151" t="s">
        <v>752</v>
      </c>
      <c r="E6" s="151" t="s">
        <v>777</v>
      </c>
      <c r="F6" s="151" t="s">
        <v>570</v>
      </c>
      <c r="G6" s="151" t="s">
        <v>580</v>
      </c>
      <c r="H6" s="151" t="s">
        <v>599</v>
      </c>
      <c r="I6" s="151" t="s">
        <v>617</v>
      </c>
      <c r="J6" s="151" t="s">
        <v>631</v>
      </c>
      <c r="K6" s="152" t="s">
        <v>766</v>
      </c>
      <c r="L6" s="337" t="s">
        <v>767</v>
      </c>
      <c r="M6" s="151" t="s">
        <v>45</v>
      </c>
      <c r="N6" s="151"/>
      <c r="O6" s="157" t="s">
        <v>768</v>
      </c>
      <c r="P6" s="152" t="s">
        <v>323</v>
      </c>
      <c r="Q6" s="157" t="s">
        <v>769</v>
      </c>
      <c r="R6" s="152"/>
      <c r="S6" s="151"/>
      <c r="T6" s="152"/>
      <c r="U6" s="151"/>
      <c r="V6" s="151"/>
      <c r="W6" s="151"/>
      <c r="X6" s="155"/>
      <c r="Y6" s="152"/>
      <c r="Z6" s="158"/>
      <c r="AA6" s="149"/>
      <c r="AB6" s="149"/>
      <c r="AC6" s="149"/>
      <c r="AD6" s="149"/>
      <c r="AE6" s="149"/>
      <c r="AF6" s="149"/>
      <c r="AG6" s="149"/>
      <c r="AH6" s="149"/>
    </row>
    <row r="7" spans="1:35" s="150" customFormat="1" ht="36">
      <c r="A7" s="151" t="s">
        <v>773</v>
      </c>
      <c r="B7" s="151" t="s">
        <v>781</v>
      </c>
      <c r="C7" s="151" t="s">
        <v>186</v>
      </c>
      <c r="D7" s="151" t="s">
        <v>752</v>
      </c>
      <c r="E7" s="151" t="s">
        <v>777</v>
      </c>
      <c r="F7" s="151" t="s">
        <v>571</v>
      </c>
      <c r="G7" s="151" t="s">
        <v>580</v>
      </c>
      <c r="H7" s="151" t="s">
        <v>599</v>
      </c>
      <c r="I7" s="151" t="s">
        <v>617</v>
      </c>
      <c r="J7" s="151" t="s">
        <v>782</v>
      </c>
      <c r="K7" s="152" t="s">
        <v>766</v>
      </c>
      <c r="L7" s="337" t="s">
        <v>767</v>
      </c>
      <c r="M7" s="151" t="s">
        <v>45</v>
      </c>
      <c r="N7" s="151"/>
      <c r="O7" s="157" t="s">
        <v>768</v>
      </c>
      <c r="P7" s="152" t="s">
        <v>323</v>
      </c>
      <c r="Q7" s="157" t="s">
        <v>769</v>
      </c>
      <c r="R7" s="152"/>
      <c r="S7" s="151"/>
      <c r="T7" s="152"/>
      <c r="U7" s="151"/>
      <c r="V7" s="151"/>
      <c r="W7" s="151"/>
      <c r="X7" s="155"/>
      <c r="Y7" s="152"/>
      <c r="Z7" s="158"/>
      <c r="AA7" s="149"/>
      <c r="AB7" s="149"/>
      <c r="AC7" s="149"/>
      <c r="AD7" s="149"/>
      <c r="AE7" s="149"/>
      <c r="AF7" s="149"/>
      <c r="AG7" s="149"/>
      <c r="AH7" s="149"/>
    </row>
    <row r="8" spans="1:35" s="150" customFormat="1" ht="36">
      <c r="A8" s="151" t="s">
        <v>775</v>
      </c>
      <c r="B8" s="151" t="s">
        <v>771</v>
      </c>
      <c r="C8" s="151" t="s">
        <v>186</v>
      </c>
      <c r="D8" s="151" t="s">
        <v>752</v>
      </c>
      <c r="E8" s="151" t="s">
        <v>779</v>
      </c>
      <c r="F8" s="151" t="s">
        <v>570</v>
      </c>
      <c r="G8" s="151" t="s">
        <v>580</v>
      </c>
      <c r="H8" s="151" t="s">
        <v>599</v>
      </c>
      <c r="I8" s="151" t="s">
        <v>617</v>
      </c>
      <c r="J8" s="151" t="s">
        <v>631</v>
      </c>
      <c r="K8" s="152" t="s">
        <v>766</v>
      </c>
      <c r="L8" s="337" t="s">
        <v>767</v>
      </c>
      <c r="M8" s="151" t="s">
        <v>45</v>
      </c>
      <c r="N8" s="151"/>
      <c r="O8" s="157" t="s">
        <v>768</v>
      </c>
      <c r="P8" s="152" t="s">
        <v>323</v>
      </c>
      <c r="Q8" s="157" t="s">
        <v>769</v>
      </c>
      <c r="R8" s="152"/>
      <c r="S8" s="151"/>
      <c r="T8" s="152"/>
      <c r="U8" s="151"/>
      <c r="V8" s="151"/>
      <c r="W8" s="151"/>
      <c r="X8" s="155"/>
      <c r="Y8" s="152"/>
      <c r="Z8" s="158"/>
      <c r="AA8" s="149"/>
      <c r="AB8" s="149"/>
      <c r="AC8" s="149"/>
      <c r="AD8" s="149"/>
      <c r="AE8" s="149"/>
      <c r="AF8" s="156"/>
      <c r="AG8" s="149"/>
      <c r="AH8" s="149"/>
    </row>
    <row r="9" spans="1:35" s="150" customFormat="1" ht="36">
      <c r="A9" s="151" t="s">
        <v>775</v>
      </c>
      <c r="B9" s="151" t="s">
        <v>772</v>
      </c>
      <c r="C9" s="151" t="s">
        <v>186</v>
      </c>
      <c r="D9" s="151" t="s">
        <v>752</v>
      </c>
      <c r="E9" s="151" t="s">
        <v>779</v>
      </c>
      <c r="F9" s="151" t="s">
        <v>570</v>
      </c>
      <c r="G9" s="151" t="s">
        <v>580</v>
      </c>
      <c r="H9" s="151" t="s">
        <v>599</v>
      </c>
      <c r="I9" s="151" t="s">
        <v>617</v>
      </c>
      <c r="J9" s="151" t="s">
        <v>631</v>
      </c>
      <c r="K9" s="152" t="s">
        <v>766</v>
      </c>
      <c r="L9" s="337" t="s">
        <v>767</v>
      </c>
      <c r="M9" s="151" t="s">
        <v>45</v>
      </c>
      <c r="N9" s="151"/>
      <c r="O9" s="157" t="s">
        <v>768</v>
      </c>
      <c r="P9" s="152" t="s">
        <v>323</v>
      </c>
      <c r="Q9" s="157" t="s">
        <v>769</v>
      </c>
      <c r="R9" s="152"/>
      <c r="S9" s="151"/>
      <c r="T9" s="152"/>
      <c r="U9" s="151"/>
      <c r="V9" s="151"/>
      <c r="W9" s="151"/>
      <c r="X9" s="155" t="str">
        <f t="shared" si="0"/>
        <v/>
      </c>
      <c r="Y9" s="152"/>
      <c r="Z9" s="158" t="str">
        <f>IF(ISERROR(VLOOKUP(Y9,'4 - SGs'!$A$4:$E$24,2)),"",VLOOKUP(Y9,'4 - SGs'!$A$4:$E$24,2))</f>
        <v/>
      </c>
      <c r="AA9" s="149"/>
      <c r="AB9" s="149"/>
      <c r="AC9" s="149"/>
      <c r="AD9" s="149"/>
      <c r="AE9" s="149"/>
      <c r="AF9" s="156"/>
      <c r="AG9" s="149"/>
      <c r="AH9" s="149"/>
    </row>
    <row r="10" spans="1:35" s="150" customFormat="1" ht="36">
      <c r="A10" s="151" t="s">
        <v>776</v>
      </c>
      <c r="B10" s="151" t="s">
        <v>771</v>
      </c>
      <c r="C10" s="151" t="s">
        <v>186</v>
      </c>
      <c r="D10" s="151" t="s">
        <v>752</v>
      </c>
      <c r="E10" s="151" t="s">
        <v>777</v>
      </c>
      <c r="F10" s="151" t="s">
        <v>570</v>
      </c>
      <c r="G10" s="151" t="s">
        <v>580</v>
      </c>
      <c r="H10" s="151" t="s">
        <v>599</v>
      </c>
      <c r="I10" s="151" t="s">
        <v>617</v>
      </c>
      <c r="J10" s="151" t="s">
        <v>631</v>
      </c>
      <c r="K10" s="152" t="s">
        <v>766</v>
      </c>
      <c r="L10" s="337" t="s">
        <v>767</v>
      </c>
      <c r="M10" s="151" t="s">
        <v>45</v>
      </c>
      <c r="N10" s="151"/>
      <c r="O10" s="157" t="s">
        <v>768</v>
      </c>
      <c r="P10" s="152" t="s">
        <v>323</v>
      </c>
      <c r="Q10" s="157" t="s">
        <v>769</v>
      </c>
      <c r="R10" s="152"/>
      <c r="S10" s="151"/>
      <c r="T10" s="152"/>
      <c r="U10" s="151"/>
      <c r="V10" s="151"/>
      <c r="W10" s="151"/>
      <c r="X10" s="155" t="str">
        <f t="shared" si="0"/>
        <v/>
      </c>
      <c r="Y10" s="152"/>
      <c r="Z10" s="158" t="str">
        <f>IF(ISERROR(VLOOKUP(Y10,'4 - SGs'!$A$4:$E$24,2)),"",VLOOKUP(Y10,'4 - SGs'!$A$4:$E$24,2))</f>
        <v/>
      </c>
      <c r="AA10" s="149"/>
      <c r="AB10" s="149"/>
      <c r="AC10" s="149"/>
      <c r="AD10" s="149"/>
      <c r="AE10" s="149"/>
      <c r="AF10" s="149"/>
      <c r="AG10" s="149"/>
      <c r="AH10" s="149"/>
    </row>
    <row r="11" spans="1:35" s="150" customFormat="1" ht="36">
      <c r="A11" s="151" t="s">
        <v>776</v>
      </c>
      <c r="B11" s="151" t="s">
        <v>772</v>
      </c>
      <c r="C11" s="151" t="s">
        <v>186</v>
      </c>
      <c r="D11" s="151" t="s">
        <v>752</v>
      </c>
      <c r="E11" s="151" t="s">
        <v>777</v>
      </c>
      <c r="F11" s="151" t="s">
        <v>570</v>
      </c>
      <c r="G11" s="151" t="s">
        <v>580</v>
      </c>
      <c r="H11" s="151" t="s">
        <v>599</v>
      </c>
      <c r="I11" s="151" t="s">
        <v>617</v>
      </c>
      <c r="J11" s="151" t="s">
        <v>631</v>
      </c>
      <c r="K11" s="152" t="s">
        <v>766</v>
      </c>
      <c r="L11" s="337" t="s">
        <v>767</v>
      </c>
      <c r="M11" s="151" t="s">
        <v>45</v>
      </c>
      <c r="N11" s="151"/>
      <c r="O11" s="157" t="s">
        <v>768</v>
      </c>
      <c r="P11" s="152" t="s">
        <v>323</v>
      </c>
      <c r="Q11" s="157" t="s">
        <v>769</v>
      </c>
      <c r="R11" s="152"/>
      <c r="S11" s="151"/>
      <c r="T11" s="152"/>
      <c r="U11" s="151"/>
      <c r="V11" s="151"/>
      <c r="W11" s="151"/>
      <c r="X11" s="155" t="str">
        <f t="shared" si="0"/>
        <v/>
      </c>
      <c r="Y11" s="152"/>
      <c r="Z11" s="158" t="str">
        <f>IF(ISERROR(VLOOKUP(Y11,'4 - SGs'!$A$4:$E$24,2)),"",VLOOKUP(Y11,'4 - SGs'!$A$4:$E$24,2))</f>
        <v/>
      </c>
      <c r="AA11" s="149"/>
      <c r="AB11" s="149"/>
      <c r="AC11" s="149"/>
      <c r="AD11" s="149"/>
      <c r="AE11" s="149"/>
      <c r="AF11" s="156"/>
      <c r="AG11" s="149"/>
      <c r="AH11" s="149"/>
    </row>
    <row r="12" spans="1:35" s="150" customFormat="1" ht="25.5">
      <c r="A12" s="656" t="s">
        <v>841</v>
      </c>
      <c r="B12" s="157" t="s">
        <v>842</v>
      </c>
      <c r="C12" s="157" t="s">
        <v>805</v>
      </c>
      <c r="D12" s="341" t="s">
        <v>843</v>
      </c>
      <c r="E12" s="341" t="s">
        <v>806</v>
      </c>
      <c r="F12" s="157" t="s">
        <v>570</v>
      </c>
      <c r="G12" s="157" t="s">
        <v>580</v>
      </c>
      <c r="H12" s="157" t="s">
        <v>599</v>
      </c>
      <c r="I12" s="157" t="s">
        <v>617</v>
      </c>
      <c r="J12" s="157" t="s">
        <v>631</v>
      </c>
      <c r="K12" s="154" t="s">
        <v>766</v>
      </c>
      <c r="L12" s="342" t="s">
        <v>767</v>
      </c>
      <c r="M12" s="157" t="s">
        <v>45</v>
      </c>
      <c r="N12" s="157"/>
      <c r="O12" s="157" t="s">
        <v>768</v>
      </c>
      <c r="P12" s="154" t="s">
        <v>323</v>
      </c>
      <c r="Q12" s="157" t="s">
        <v>769</v>
      </c>
      <c r="R12" s="154"/>
      <c r="S12" s="157"/>
      <c r="T12" s="154"/>
      <c r="U12" s="157"/>
      <c r="V12" s="157"/>
      <c r="W12" s="343"/>
      <c r="X12" s="155" t="str">
        <f t="shared" ref="X12:X21" si="1">IF(AND(ISBLANK(S_Wert),ISBLANK(E_Wert),ISBLANK(C_Wert)),"",IF(OR(S_Wert="S0",C_Wert="C0"),"",IF(E_Wert="E0","QM",IF(AND(S_Wert="-",E_Wert="-",C_Wert="-"),"?",VLOOKUP(S_Wert&amp;E_Wert,ASIL_Tabelle,MATCH(C_Wert,Controllability,0)+1,FALSE)))))</f>
        <v/>
      </c>
      <c r="Y12" s="154"/>
      <c r="Z12" s="158" t="str">
        <f>IF(ISERROR(VLOOKUP(Y12,'[4]4 - SGs'!$A$4:$E$24,2)),"",VLOOKUP(Y12,'[4]4 - SGs'!$A$4:$E$24,2))</f>
        <v/>
      </c>
    </row>
    <row r="13" spans="1:35" s="150" customFormat="1" ht="36">
      <c r="A13" s="656" t="s">
        <v>841</v>
      </c>
      <c r="B13" s="157" t="s">
        <v>842</v>
      </c>
      <c r="C13" s="157" t="s">
        <v>807</v>
      </c>
      <c r="D13" s="341" t="s">
        <v>844</v>
      </c>
      <c r="E13" s="341" t="s">
        <v>808</v>
      </c>
      <c r="F13" s="157" t="s">
        <v>570</v>
      </c>
      <c r="G13" s="157" t="s">
        <v>580</v>
      </c>
      <c r="H13" s="157" t="s">
        <v>599</v>
      </c>
      <c r="I13" s="157" t="s">
        <v>617</v>
      </c>
      <c r="J13" s="157" t="s">
        <v>631</v>
      </c>
      <c r="K13" s="154" t="s">
        <v>766</v>
      </c>
      <c r="L13" s="342" t="s">
        <v>767</v>
      </c>
      <c r="M13" s="157" t="s">
        <v>45</v>
      </c>
      <c r="N13" s="157"/>
      <c r="O13" s="157" t="s">
        <v>768</v>
      </c>
      <c r="P13" s="154" t="s">
        <v>323</v>
      </c>
      <c r="Q13" s="157" t="s">
        <v>769</v>
      </c>
      <c r="R13" s="154"/>
      <c r="S13" s="157"/>
      <c r="T13" s="154"/>
      <c r="U13" s="157"/>
      <c r="V13" s="157"/>
      <c r="W13" s="157"/>
      <c r="X13" s="155" t="str">
        <f t="shared" si="1"/>
        <v/>
      </c>
      <c r="Y13" s="154"/>
      <c r="Z13" s="158" t="str">
        <f>IF(ISERROR(VLOOKUP(Y13,'[4]4 - SGs'!$A$4:$E$24,2)),"",VLOOKUP(Y13,'[4]4 - SGs'!$A$4:$E$24,2))</f>
        <v/>
      </c>
    </row>
    <row r="14" spans="1:35" s="150" customFormat="1" ht="38.25">
      <c r="A14" s="656" t="s">
        <v>841</v>
      </c>
      <c r="B14" s="157" t="s">
        <v>842</v>
      </c>
      <c r="C14" s="157" t="s">
        <v>198</v>
      </c>
      <c r="D14" s="341" t="s">
        <v>845</v>
      </c>
      <c r="E14" s="341" t="s">
        <v>809</v>
      </c>
      <c r="F14" s="157" t="s">
        <v>570</v>
      </c>
      <c r="G14" s="157" t="s">
        <v>580</v>
      </c>
      <c r="H14" s="157" t="s">
        <v>599</v>
      </c>
      <c r="I14" s="157" t="s">
        <v>617</v>
      </c>
      <c r="J14" s="157" t="s">
        <v>631</v>
      </c>
      <c r="K14" s="154" t="s">
        <v>766</v>
      </c>
      <c r="L14" s="342" t="s">
        <v>767</v>
      </c>
      <c r="M14" s="157" t="s">
        <v>45</v>
      </c>
      <c r="N14" s="157"/>
      <c r="O14" s="157" t="s">
        <v>768</v>
      </c>
      <c r="P14" s="154" t="s">
        <v>323</v>
      </c>
      <c r="Q14" s="157" t="s">
        <v>769</v>
      </c>
      <c r="R14" s="154"/>
      <c r="S14" s="157"/>
      <c r="T14" s="154"/>
      <c r="U14" s="157"/>
      <c r="V14" s="157"/>
      <c r="W14" s="157"/>
      <c r="X14" s="155" t="str">
        <f t="shared" si="1"/>
        <v/>
      </c>
      <c r="Y14" s="154"/>
      <c r="Z14" s="158"/>
    </row>
    <row r="15" spans="1:35" s="150" customFormat="1" ht="25.5">
      <c r="A15" s="157" t="s">
        <v>834</v>
      </c>
      <c r="B15" s="157" t="s">
        <v>810</v>
      </c>
      <c r="C15" s="157" t="s">
        <v>805</v>
      </c>
      <c r="D15" s="341" t="s">
        <v>835</v>
      </c>
      <c r="E15" s="157" t="s">
        <v>838</v>
      </c>
      <c r="F15" s="157" t="s">
        <v>570</v>
      </c>
      <c r="G15" s="157" t="s">
        <v>580</v>
      </c>
      <c r="H15" s="157" t="s">
        <v>599</v>
      </c>
      <c r="I15" s="157" t="s">
        <v>617</v>
      </c>
      <c r="J15" s="157" t="s">
        <v>631</v>
      </c>
      <c r="K15" s="154" t="s">
        <v>766</v>
      </c>
      <c r="L15" s="342" t="s">
        <v>767</v>
      </c>
      <c r="M15" s="157" t="s">
        <v>45</v>
      </c>
      <c r="N15" s="157"/>
      <c r="O15" s="157" t="s">
        <v>768</v>
      </c>
      <c r="P15" s="154" t="s">
        <v>323</v>
      </c>
      <c r="Q15" s="157" t="s">
        <v>769</v>
      </c>
      <c r="R15" s="154"/>
      <c r="S15" s="157"/>
      <c r="T15" s="154"/>
      <c r="U15" s="157"/>
      <c r="V15" s="157"/>
      <c r="W15" s="157"/>
      <c r="X15" s="155" t="str">
        <f t="shared" si="1"/>
        <v/>
      </c>
      <c r="Y15" s="154"/>
      <c r="Z15" s="158"/>
      <c r="AF15" s="156"/>
    </row>
    <row r="16" spans="1:35" s="150" customFormat="1" ht="51">
      <c r="A16" s="157" t="s">
        <v>834</v>
      </c>
      <c r="B16" s="157" t="s">
        <v>810</v>
      </c>
      <c r="C16" s="157" t="s">
        <v>807</v>
      </c>
      <c r="D16" s="344" t="s">
        <v>836</v>
      </c>
      <c r="E16" s="157" t="s">
        <v>839</v>
      </c>
      <c r="F16" s="157" t="s">
        <v>570</v>
      </c>
      <c r="G16" s="157" t="s">
        <v>580</v>
      </c>
      <c r="H16" s="157" t="s">
        <v>599</v>
      </c>
      <c r="I16" s="157" t="s">
        <v>617</v>
      </c>
      <c r="J16" s="157" t="s">
        <v>631</v>
      </c>
      <c r="K16" s="154" t="s">
        <v>766</v>
      </c>
      <c r="L16" s="342" t="s">
        <v>767</v>
      </c>
      <c r="M16" s="157" t="s">
        <v>45</v>
      </c>
      <c r="N16" s="157"/>
      <c r="O16" s="157" t="s">
        <v>768</v>
      </c>
      <c r="P16" s="154" t="s">
        <v>323</v>
      </c>
      <c r="Q16" s="157" t="s">
        <v>769</v>
      </c>
      <c r="R16" s="154"/>
      <c r="S16" s="157"/>
      <c r="T16" s="154"/>
      <c r="U16" s="157"/>
      <c r="V16" s="157"/>
      <c r="W16" s="157"/>
      <c r="X16" s="155"/>
      <c r="Y16" s="154"/>
      <c r="Z16" s="158"/>
      <c r="AF16" s="156"/>
    </row>
    <row r="17" spans="1:32" s="150" customFormat="1" ht="36">
      <c r="A17" s="157" t="s">
        <v>834</v>
      </c>
      <c r="B17" s="157" t="s">
        <v>810</v>
      </c>
      <c r="C17" s="157" t="s">
        <v>198</v>
      </c>
      <c r="D17" s="341" t="s">
        <v>837</v>
      </c>
      <c r="E17" s="157" t="s">
        <v>840</v>
      </c>
      <c r="F17" s="157" t="s">
        <v>570</v>
      </c>
      <c r="G17" s="157" t="s">
        <v>580</v>
      </c>
      <c r="H17" s="157" t="s">
        <v>599</v>
      </c>
      <c r="I17" s="157" t="s">
        <v>617</v>
      </c>
      <c r="J17" s="157" t="s">
        <v>631</v>
      </c>
      <c r="K17" s="154" t="s">
        <v>766</v>
      </c>
      <c r="L17" s="342" t="s">
        <v>767</v>
      </c>
      <c r="M17" s="157" t="s">
        <v>45</v>
      </c>
      <c r="N17" s="157"/>
      <c r="O17" s="157" t="s">
        <v>768</v>
      </c>
      <c r="P17" s="154" t="s">
        <v>323</v>
      </c>
      <c r="Q17" s="157" t="s">
        <v>769</v>
      </c>
      <c r="R17" s="154"/>
      <c r="S17" s="157"/>
      <c r="T17" s="154"/>
      <c r="U17" s="157"/>
      <c r="V17" s="157"/>
      <c r="W17" s="157"/>
      <c r="X17" s="155" t="str">
        <f t="shared" si="1"/>
        <v/>
      </c>
      <c r="Y17" s="154"/>
      <c r="Z17" s="158" t="str">
        <f>IF(ISERROR(VLOOKUP(Y17,'[2]4 - SGs'!$A$4:$E$24,2)),"",VLOOKUP(Y17,'[2]4 - SGs'!$A$4:$E$24,2))</f>
        <v/>
      </c>
      <c r="AF17" s="156"/>
    </row>
    <row r="18" spans="1:32" s="150" customFormat="1" ht="51">
      <c r="A18" s="656" t="s">
        <v>846</v>
      </c>
      <c r="B18" s="157" t="s">
        <v>847</v>
      </c>
      <c r="C18" s="157" t="s">
        <v>811</v>
      </c>
      <c r="D18" s="157" t="s">
        <v>848</v>
      </c>
      <c r="E18" s="157" t="s">
        <v>849</v>
      </c>
      <c r="F18" s="157" t="s">
        <v>570</v>
      </c>
      <c r="G18" s="157" t="s">
        <v>580</v>
      </c>
      <c r="H18" s="157" t="s">
        <v>599</v>
      </c>
      <c r="I18" s="157" t="s">
        <v>617</v>
      </c>
      <c r="J18" s="157" t="s">
        <v>631</v>
      </c>
      <c r="K18" s="154" t="s">
        <v>766</v>
      </c>
      <c r="L18" s="342" t="s">
        <v>767</v>
      </c>
      <c r="M18" s="157" t="s">
        <v>45</v>
      </c>
      <c r="N18" s="157"/>
      <c r="O18" s="157" t="s">
        <v>768</v>
      </c>
      <c r="P18" s="154" t="s">
        <v>323</v>
      </c>
      <c r="Q18" s="157" t="s">
        <v>769</v>
      </c>
      <c r="R18" s="154"/>
      <c r="S18" s="157"/>
      <c r="T18" s="154"/>
      <c r="U18" s="157"/>
      <c r="V18" s="157"/>
      <c r="W18" s="157"/>
      <c r="X18" s="155" t="str">
        <f t="shared" si="1"/>
        <v/>
      </c>
      <c r="Y18" s="154"/>
      <c r="Z18" s="158" t="str">
        <f>IF(ISERROR(VLOOKUP(Y18,'[2]4 - SGs'!$A$4:$E$24,2)),"",VLOOKUP(Y18,'[2]4 - SGs'!$A$4:$E$24,2))</f>
        <v/>
      </c>
      <c r="AE18" s="153"/>
    </row>
    <row r="19" spans="1:32" s="150" customFormat="1" ht="38.25">
      <c r="A19" s="657" t="s">
        <v>812</v>
      </c>
      <c r="B19" s="157" t="s">
        <v>813</v>
      </c>
      <c r="C19" s="157" t="s">
        <v>814</v>
      </c>
      <c r="D19" s="157" t="s">
        <v>815</v>
      </c>
      <c r="E19" s="157" t="s">
        <v>850</v>
      </c>
      <c r="F19" s="157" t="s">
        <v>570</v>
      </c>
      <c r="G19" s="157" t="s">
        <v>580</v>
      </c>
      <c r="H19" s="157" t="s">
        <v>599</v>
      </c>
      <c r="I19" s="157" t="s">
        <v>617</v>
      </c>
      <c r="J19" s="157" t="s">
        <v>631</v>
      </c>
      <c r="K19" s="154" t="s">
        <v>766</v>
      </c>
      <c r="L19" s="342" t="s">
        <v>767</v>
      </c>
      <c r="M19" s="157" t="s">
        <v>45</v>
      </c>
      <c r="N19" s="157"/>
      <c r="O19" s="157" t="s">
        <v>768</v>
      </c>
      <c r="P19" s="154" t="s">
        <v>323</v>
      </c>
      <c r="Q19" s="157" t="s">
        <v>769</v>
      </c>
      <c r="R19" s="154"/>
      <c r="S19" s="157"/>
      <c r="T19" s="154"/>
      <c r="U19" s="157"/>
      <c r="V19" s="157"/>
      <c r="W19" s="157"/>
      <c r="X19" s="155" t="str">
        <f t="shared" si="1"/>
        <v/>
      </c>
      <c r="Y19" s="154"/>
      <c r="Z19" s="158" t="str">
        <f>IF(ISERROR(VLOOKUP(Y19,'[2]4 - SGs'!$A$4:$E$24,2)),"",VLOOKUP(Y19,'[2]4 - SGs'!$A$4:$E$24,2))</f>
        <v/>
      </c>
      <c r="AE19" s="153"/>
    </row>
    <row r="20" spans="1:32" s="150" customFormat="1" ht="38.25">
      <c r="A20" s="657" t="s">
        <v>812</v>
      </c>
      <c r="B20" s="157" t="s">
        <v>813</v>
      </c>
      <c r="C20" s="157" t="s">
        <v>811</v>
      </c>
      <c r="D20" s="157" t="s">
        <v>816</v>
      </c>
      <c r="E20" s="341" t="s">
        <v>808</v>
      </c>
      <c r="F20" s="157" t="s">
        <v>570</v>
      </c>
      <c r="G20" s="157" t="s">
        <v>580</v>
      </c>
      <c r="H20" s="157" t="s">
        <v>599</v>
      </c>
      <c r="I20" s="157" t="s">
        <v>617</v>
      </c>
      <c r="J20" s="157" t="s">
        <v>631</v>
      </c>
      <c r="K20" s="154" t="s">
        <v>766</v>
      </c>
      <c r="L20" s="342" t="s">
        <v>767</v>
      </c>
      <c r="M20" s="157" t="s">
        <v>45</v>
      </c>
      <c r="N20" s="157"/>
      <c r="O20" s="157" t="s">
        <v>768</v>
      </c>
      <c r="P20" s="154" t="s">
        <v>323</v>
      </c>
      <c r="Q20" s="157" t="s">
        <v>769</v>
      </c>
      <c r="R20" s="154"/>
      <c r="S20" s="157"/>
      <c r="T20" s="154"/>
      <c r="U20" s="157"/>
      <c r="V20" s="157"/>
      <c r="W20" s="157"/>
      <c r="X20" s="155" t="str">
        <f t="shared" si="1"/>
        <v/>
      </c>
      <c r="Y20" s="154"/>
      <c r="Z20" s="158" t="str">
        <f>IF(ISERROR(VLOOKUP(Y20,'[2]4 - SGs'!$A$4:$E$24,2)),"",VLOOKUP(Y20,'[2]4 - SGs'!$A$4:$E$24,2))</f>
        <v/>
      </c>
      <c r="AE20" s="153"/>
    </row>
    <row r="21" spans="1:32" s="150" customFormat="1" ht="38.25">
      <c r="A21" s="657" t="s">
        <v>812</v>
      </c>
      <c r="B21" s="157" t="s">
        <v>813</v>
      </c>
      <c r="C21" s="157" t="s">
        <v>191</v>
      </c>
      <c r="D21" s="345" t="s">
        <v>817</v>
      </c>
      <c r="E21" s="157" t="s">
        <v>850</v>
      </c>
      <c r="F21" s="157" t="s">
        <v>570</v>
      </c>
      <c r="G21" s="157" t="s">
        <v>580</v>
      </c>
      <c r="H21" s="157" t="s">
        <v>599</v>
      </c>
      <c r="I21" s="157" t="s">
        <v>617</v>
      </c>
      <c r="J21" s="157" t="s">
        <v>631</v>
      </c>
      <c r="K21" s="154" t="s">
        <v>766</v>
      </c>
      <c r="L21" s="342" t="s">
        <v>767</v>
      </c>
      <c r="M21" s="157" t="s">
        <v>45</v>
      </c>
      <c r="N21" s="157"/>
      <c r="O21" s="157" t="s">
        <v>768</v>
      </c>
      <c r="P21" s="154" t="s">
        <v>323</v>
      </c>
      <c r="Q21" s="157" t="s">
        <v>769</v>
      </c>
      <c r="R21" s="154"/>
      <c r="S21" s="157"/>
      <c r="T21" s="154"/>
      <c r="U21" s="157"/>
      <c r="V21" s="157"/>
      <c r="W21" s="157"/>
      <c r="X21" s="155" t="str">
        <f t="shared" si="1"/>
        <v/>
      </c>
      <c r="Y21" s="154"/>
      <c r="Z21" s="158" t="str">
        <f>IF(ISERROR(VLOOKUP(Y21,'[2]4 - SGs'!$A$4:$E$24,2)),"",VLOOKUP(Y21,'[2]4 - SGs'!$A$4:$E$24,2))</f>
        <v/>
      </c>
      <c r="AE21" s="153"/>
    </row>
    <row r="22" spans="1:32" s="150" customFormat="1" ht="12">
      <c r="A22" s="157"/>
      <c r="B22" s="157"/>
      <c r="C22" s="151"/>
      <c r="D22" s="157"/>
      <c r="E22" s="157"/>
      <c r="F22" s="157"/>
      <c r="G22" s="157"/>
      <c r="H22" s="157"/>
      <c r="I22" s="157"/>
      <c r="J22" s="157"/>
      <c r="K22" s="154"/>
      <c r="L22" s="154"/>
      <c r="M22" s="151"/>
      <c r="N22" s="157"/>
      <c r="O22" s="157"/>
      <c r="P22" s="152"/>
      <c r="Q22" s="157"/>
      <c r="R22" s="152"/>
      <c r="S22" s="157"/>
      <c r="T22" s="152"/>
      <c r="U22" s="157"/>
      <c r="V22" s="151"/>
      <c r="W22" s="151"/>
      <c r="X22" s="155" t="str">
        <f t="shared" si="0"/>
        <v/>
      </c>
      <c r="Y22" s="152"/>
      <c r="Z22" s="158" t="str">
        <f>IF(ISERROR(VLOOKUP(Y22,'4 - SGs'!$A$4:$E$24,2)),"",VLOOKUP(Y22,'4 - SGs'!$A$4:$E$24,2))</f>
        <v/>
      </c>
      <c r="AA22" s="149"/>
      <c r="AB22" s="149"/>
      <c r="AC22" s="149"/>
      <c r="AD22" s="149"/>
      <c r="AE22" s="153"/>
    </row>
    <row r="23" spans="1:32" s="150" customFormat="1" ht="12">
      <c r="A23" s="157"/>
      <c r="B23" s="157"/>
      <c r="C23" s="151"/>
      <c r="D23" s="157"/>
      <c r="E23" s="157"/>
      <c r="F23" s="157"/>
      <c r="G23" s="157"/>
      <c r="H23" s="157"/>
      <c r="I23" s="157"/>
      <c r="J23" s="157"/>
      <c r="K23" s="154"/>
      <c r="L23" s="154"/>
      <c r="M23" s="151"/>
      <c r="N23" s="157"/>
      <c r="O23" s="157"/>
      <c r="P23" s="152"/>
      <c r="Q23" s="157"/>
      <c r="R23" s="152"/>
      <c r="S23" s="157"/>
      <c r="T23" s="152"/>
      <c r="U23" s="157"/>
      <c r="V23" s="151"/>
      <c r="W23" s="151"/>
      <c r="X23" s="155" t="str">
        <f t="shared" si="0"/>
        <v/>
      </c>
      <c r="Y23" s="152"/>
      <c r="Z23" s="158" t="str">
        <f>IF(ISERROR(VLOOKUP(Y23,'4 - SGs'!$A$4:$E$24,2)),"",VLOOKUP(Y23,'4 - SGs'!$A$4:$E$24,2))</f>
        <v/>
      </c>
      <c r="AA23" s="149"/>
      <c r="AB23" s="149"/>
      <c r="AC23" s="149"/>
      <c r="AD23" s="149"/>
      <c r="AE23" s="153"/>
    </row>
    <row r="24" spans="1:32" s="150" customFormat="1" ht="12">
      <c r="A24" s="157"/>
      <c r="B24" s="157"/>
      <c r="C24" s="151"/>
      <c r="D24" s="157"/>
      <c r="E24" s="157"/>
      <c r="F24" s="157"/>
      <c r="G24" s="157"/>
      <c r="H24" s="157"/>
      <c r="I24" s="157"/>
      <c r="J24" s="157"/>
      <c r="K24" s="154"/>
      <c r="L24" s="154"/>
      <c r="M24" s="151"/>
      <c r="N24" s="157"/>
      <c r="O24" s="157"/>
      <c r="P24" s="152"/>
      <c r="Q24" s="157"/>
      <c r="R24" s="152"/>
      <c r="S24" s="157"/>
      <c r="T24" s="152"/>
      <c r="U24" s="157"/>
      <c r="V24" s="151"/>
      <c r="W24" s="151"/>
      <c r="X24" s="155" t="str">
        <f t="shared" si="0"/>
        <v/>
      </c>
      <c r="Y24" s="152"/>
      <c r="Z24" s="158" t="str">
        <f>IF(ISERROR(VLOOKUP(Y24,'4 - SGs'!$A$4:$E$24,2)),"",VLOOKUP(Y24,'4 - SGs'!$A$4:$E$24,2))</f>
        <v/>
      </c>
      <c r="AA24" s="149"/>
      <c r="AB24" s="149"/>
      <c r="AC24" s="149"/>
      <c r="AD24" s="149"/>
      <c r="AE24" s="153"/>
    </row>
    <row r="25" spans="1:32" s="150" customFormat="1" ht="12">
      <c r="A25" s="157"/>
      <c r="B25" s="157"/>
      <c r="C25" s="151"/>
      <c r="D25" s="157"/>
      <c r="E25" s="157"/>
      <c r="F25" s="157"/>
      <c r="G25" s="157"/>
      <c r="H25" s="157"/>
      <c r="I25" s="157"/>
      <c r="J25" s="157"/>
      <c r="K25" s="154"/>
      <c r="L25" s="154"/>
      <c r="M25" s="151"/>
      <c r="N25" s="157"/>
      <c r="O25" s="157"/>
      <c r="P25" s="152"/>
      <c r="Q25" s="157"/>
      <c r="R25" s="152"/>
      <c r="S25" s="157"/>
      <c r="T25" s="152"/>
      <c r="U25" s="157"/>
      <c r="V25" s="151"/>
      <c r="W25" s="151"/>
      <c r="X25" s="155" t="str">
        <f t="shared" si="0"/>
        <v/>
      </c>
      <c r="Y25" s="152"/>
      <c r="Z25" s="158" t="str">
        <f>IF(ISERROR(VLOOKUP(Y25,'4 - SGs'!$A$4:$E$24,2)),"",VLOOKUP(Y25,'4 - SGs'!$A$4:$E$24,2))</f>
        <v/>
      </c>
      <c r="AA25" s="149"/>
      <c r="AB25" s="149"/>
      <c r="AC25" s="149"/>
      <c r="AD25" s="149"/>
      <c r="AE25" s="153"/>
    </row>
    <row r="26" spans="1:32" s="150" customFormat="1" ht="12">
      <c r="A26" s="157"/>
      <c r="B26" s="157"/>
      <c r="C26" s="151"/>
      <c r="D26" s="157"/>
      <c r="E26" s="157"/>
      <c r="F26" s="157"/>
      <c r="G26" s="157"/>
      <c r="H26" s="157"/>
      <c r="I26" s="157"/>
      <c r="J26" s="157"/>
      <c r="K26" s="154"/>
      <c r="L26" s="154"/>
      <c r="M26" s="151"/>
      <c r="N26" s="157"/>
      <c r="O26" s="157"/>
      <c r="P26" s="152"/>
      <c r="Q26" s="157"/>
      <c r="R26" s="152"/>
      <c r="S26" s="157"/>
      <c r="T26" s="152"/>
      <c r="U26" s="157"/>
      <c r="V26" s="151"/>
      <c r="W26" s="151"/>
      <c r="X26" s="155" t="str">
        <f t="shared" si="0"/>
        <v/>
      </c>
      <c r="Y26" s="152"/>
      <c r="Z26" s="158" t="str">
        <f>IF(ISERROR(VLOOKUP(Y26,'4 - SGs'!$A$4:$E$24,2)),"",VLOOKUP(Y26,'4 - SGs'!$A$4:$E$24,2))</f>
        <v/>
      </c>
      <c r="AA26" s="149"/>
      <c r="AB26" s="149"/>
      <c r="AC26" s="149"/>
      <c r="AD26" s="149"/>
      <c r="AE26" s="153"/>
    </row>
    <row r="27" spans="1:32" s="150" customFormat="1" ht="12">
      <c r="A27" s="157"/>
      <c r="B27" s="157"/>
      <c r="C27" s="151"/>
      <c r="D27" s="157"/>
      <c r="E27" s="157"/>
      <c r="F27" s="157"/>
      <c r="G27" s="157"/>
      <c r="H27" s="157"/>
      <c r="I27" s="157"/>
      <c r="J27" s="157"/>
      <c r="K27" s="154"/>
      <c r="L27" s="154"/>
      <c r="M27" s="151"/>
      <c r="N27" s="157"/>
      <c r="O27" s="157"/>
      <c r="P27" s="152"/>
      <c r="Q27" s="157"/>
      <c r="R27" s="152"/>
      <c r="S27" s="157"/>
      <c r="T27" s="152"/>
      <c r="U27" s="157"/>
      <c r="V27" s="151"/>
      <c r="W27" s="151"/>
      <c r="X27" s="155" t="str">
        <f t="shared" si="0"/>
        <v/>
      </c>
      <c r="Y27" s="152"/>
      <c r="Z27" s="158" t="str">
        <f>IF(ISERROR(VLOOKUP(Y27,'4 - SGs'!$A$4:$E$24,2)),"",VLOOKUP(Y27,'4 - SGs'!$A$4:$E$24,2))</f>
        <v/>
      </c>
      <c r="AA27" s="149"/>
      <c r="AB27" s="149"/>
      <c r="AC27" s="149"/>
      <c r="AD27" s="149"/>
      <c r="AE27" s="153"/>
    </row>
    <row r="28" spans="1:32" s="150" customFormat="1" ht="12">
      <c r="A28" s="157"/>
      <c r="B28" s="157"/>
      <c r="C28" s="151"/>
      <c r="D28" s="157"/>
      <c r="E28" s="157"/>
      <c r="F28" s="157"/>
      <c r="G28" s="157"/>
      <c r="H28" s="157"/>
      <c r="I28" s="157"/>
      <c r="J28" s="157"/>
      <c r="K28" s="154"/>
      <c r="L28" s="154"/>
      <c r="M28" s="151"/>
      <c r="N28" s="157"/>
      <c r="O28" s="157"/>
      <c r="P28" s="152"/>
      <c r="Q28" s="157"/>
      <c r="R28" s="152"/>
      <c r="S28" s="157"/>
      <c r="T28" s="152"/>
      <c r="U28" s="157"/>
      <c r="V28" s="151"/>
      <c r="W28" s="151"/>
      <c r="X28" s="155" t="str">
        <f t="shared" si="0"/>
        <v/>
      </c>
      <c r="Y28" s="152"/>
      <c r="Z28" s="158" t="str">
        <f>IF(ISERROR(VLOOKUP(Y28,'4 - SGs'!$A$4:$E$24,2)),"",VLOOKUP(Y28,'4 - SGs'!$A$4:$E$24,2))</f>
        <v/>
      </c>
      <c r="AA28" s="149"/>
      <c r="AB28" s="149"/>
      <c r="AC28" s="149"/>
      <c r="AD28" s="149"/>
      <c r="AE28" s="153"/>
    </row>
    <row r="29" spans="1:32" s="150" customFormat="1" ht="12">
      <c r="A29" s="157"/>
      <c r="B29" s="157"/>
      <c r="C29" s="151"/>
      <c r="D29" s="157"/>
      <c r="E29" s="157"/>
      <c r="F29" s="157"/>
      <c r="G29" s="157"/>
      <c r="H29" s="157"/>
      <c r="I29" s="157"/>
      <c r="J29" s="157"/>
      <c r="K29" s="154"/>
      <c r="L29" s="154"/>
      <c r="M29" s="151"/>
      <c r="N29" s="157"/>
      <c r="O29" s="157"/>
      <c r="P29" s="152"/>
      <c r="Q29" s="157"/>
      <c r="R29" s="152"/>
      <c r="S29" s="157"/>
      <c r="T29" s="152"/>
      <c r="U29" s="157"/>
      <c r="V29" s="151"/>
      <c r="W29" s="151"/>
      <c r="X29" s="155" t="str">
        <f t="shared" si="0"/>
        <v/>
      </c>
      <c r="Y29" s="152"/>
      <c r="Z29" s="158" t="str">
        <f>IF(ISERROR(VLOOKUP(Y29,'4 - SGs'!$A$4:$E$24,2)),"",VLOOKUP(Y29,'4 - SGs'!$A$4:$E$24,2))</f>
        <v/>
      </c>
      <c r="AA29" s="149"/>
      <c r="AB29" s="149"/>
      <c r="AC29" s="149"/>
      <c r="AD29" s="149"/>
      <c r="AE29" s="153"/>
    </row>
    <row r="30" spans="1:32" s="150" customFormat="1" ht="12">
      <c r="A30" s="157"/>
      <c r="B30" s="157"/>
      <c r="C30" s="151"/>
      <c r="D30" s="157"/>
      <c r="E30" s="157"/>
      <c r="F30" s="157"/>
      <c r="G30" s="157"/>
      <c r="H30" s="157"/>
      <c r="I30" s="157"/>
      <c r="J30" s="157"/>
      <c r="K30" s="154"/>
      <c r="L30" s="154"/>
      <c r="M30" s="151"/>
      <c r="N30" s="157"/>
      <c r="O30" s="157"/>
      <c r="P30" s="152"/>
      <c r="Q30" s="157"/>
      <c r="R30" s="152"/>
      <c r="S30" s="157"/>
      <c r="T30" s="152"/>
      <c r="U30" s="157"/>
      <c r="V30" s="151"/>
      <c r="W30" s="151"/>
      <c r="X30" s="155" t="str">
        <f t="shared" si="0"/>
        <v/>
      </c>
      <c r="Y30" s="152"/>
      <c r="Z30" s="158" t="str">
        <f>IF(ISERROR(VLOOKUP(Y30,'4 - SGs'!$A$4:$E$24,2)),"",VLOOKUP(Y30,'4 - SGs'!$A$4:$E$24,2))</f>
        <v/>
      </c>
      <c r="AA30" s="149"/>
      <c r="AB30" s="149"/>
      <c r="AC30" s="149"/>
      <c r="AD30" s="149"/>
      <c r="AE30" s="153"/>
    </row>
    <row r="31" spans="1:32" s="150" customFormat="1" ht="12">
      <c r="A31" s="157"/>
      <c r="B31" s="157"/>
      <c r="C31" s="151"/>
      <c r="D31" s="157"/>
      <c r="E31" s="157"/>
      <c r="F31" s="157"/>
      <c r="G31" s="157"/>
      <c r="H31" s="157"/>
      <c r="I31" s="157"/>
      <c r="J31" s="157"/>
      <c r="K31" s="154"/>
      <c r="L31" s="154"/>
      <c r="M31" s="151"/>
      <c r="N31" s="157"/>
      <c r="O31" s="157"/>
      <c r="P31" s="152"/>
      <c r="Q31" s="157"/>
      <c r="R31" s="152"/>
      <c r="S31" s="157"/>
      <c r="T31" s="152"/>
      <c r="U31" s="157"/>
      <c r="V31" s="151"/>
      <c r="W31" s="151"/>
      <c r="X31" s="155" t="str">
        <f t="shared" si="0"/>
        <v/>
      </c>
      <c r="Y31" s="152"/>
      <c r="Z31" s="158" t="str">
        <f>IF(ISERROR(VLOOKUP(Y31,'4 - SGs'!$A$4:$E$24,2)),"",VLOOKUP(Y31,'4 - SGs'!$A$4:$E$24,2))</f>
        <v/>
      </c>
      <c r="AA31" s="149"/>
      <c r="AB31" s="149"/>
      <c r="AC31" s="149"/>
      <c r="AD31" s="149"/>
      <c r="AE31" s="153"/>
    </row>
    <row r="32" spans="1:32" s="150" customFormat="1" ht="12">
      <c r="A32" s="157"/>
      <c r="B32" s="157"/>
      <c r="C32" s="151"/>
      <c r="D32" s="157"/>
      <c r="E32" s="157"/>
      <c r="F32" s="157"/>
      <c r="G32" s="157"/>
      <c r="H32" s="157"/>
      <c r="I32" s="157"/>
      <c r="J32" s="157"/>
      <c r="K32" s="154"/>
      <c r="L32" s="154"/>
      <c r="M32" s="151"/>
      <c r="N32" s="157"/>
      <c r="O32" s="157"/>
      <c r="P32" s="152"/>
      <c r="Q32" s="157"/>
      <c r="R32" s="152"/>
      <c r="S32" s="157"/>
      <c r="T32" s="152"/>
      <c r="U32" s="157"/>
      <c r="V32" s="151"/>
      <c r="W32" s="151"/>
      <c r="X32" s="155" t="str">
        <f t="shared" si="0"/>
        <v/>
      </c>
      <c r="Y32" s="152"/>
      <c r="Z32" s="158" t="str">
        <f>IF(ISERROR(VLOOKUP(Y32,'4 - SGs'!$A$4:$E$24,2)),"",VLOOKUP(Y32,'4 - SGs'!$A$4:$E$24,2))</f>
        <v/>
      </c>
      <c r="AA32" s="149"/>
      <c r="AB32" s="149"/>
      <c r="AC32" s="149"/>
      <c r="AD32" s="149"/>
      <c r="AE32" s="153"/>
    </row>
    <row r="33" spans="1:31" s="150" customFormat="1" ht="12">
      <c r="A33" s="157"/>
      <c r="B33" s="157"/>
      <c r="C33" s="151"/>
      <c r="D33" s="157"/>
      <c r="E33" s="157"/>
      <c r="F33" s="157"/>
      <c r="G33" s="157"/>
      <c r="H33" s="157"/>
      <c r="I33" s="157"/>
      <c r="J33" s="157"/>
      <c r="K33" s="154"/>
      <c r="L33" s="154"/>
      <c r="M33" s="151"/>
      <c r="N33" s="157"/>
      <c r="O33" s="157"/>
      <c r="P33" s="152"/>
      <c r="Q33" s="157"/>
      <c r="R33" s="152"/>
      <c r="S33" s="157"/>
      <c r="T33" s="152"/>
      <c r="U33" s="157"/>
      <c r="V33" s="151"/>
      <c r="W33" s="151"/>
      <c r="X33" s="155" t="str">
        <f t="shared" si="0"/>
        <v/>
      </c>
      <c r="Y33" s="152"/>
      <c r="Z33" s="158" t="str">
        <f>IF(ISERROR(VLOOKUP(Y33,'4 - SGs'!$A$4:$E$24,2)),"",VLOOKUP(Y33,'4 - SGs'!$A$4:$E$24,2))</f>
        <v/>
      </c>
      <c r="AA33" s="149"/>
      <c r="AB33" s="149"/>
      <c r="AC33" s="149"/>
      <c r="AD33" s="149"/>
      <c r="AE33" s="153"/>
    </row>
    <row r="34" spans="1:31" s="150" customFormat="1" ht="12">
      <c r="A34" s="157"/>
      <c r="B34" s="157"/>
      <c r="C34" s="151"/>
      <c r="D34" s="157"/>
      <c r="E34" s="157"/>
      <c r="F34" s="157"/>
      <c r="G34" s="157"/>
      <c r="H34" s="157"/>
      <c r="I34" s="157"/>
      <c r="J34" s="157"/>
      <c r="K34" s="154"/>
      <c r="L34" s="154"/>
      <c r="M34" s="151"/>
      <c r="N34" s="157"/>
      <c r="O34" s="157"/>
      <c r="P34" s="152"/>
      <c r="Q34" s="157"/>
      <c r="R34" s="152"/>
      <c r="S34" s="157"/>
      <c r="T34" s="152"/>
      <c r="U34" s="157"/>
      <c r="V34" s="151"/>
      <c r="W34" s="151"/>
      <c r="X34" s="155" t="str">
        <f t="shared" si="0"/>
        <v/>
      </c>
      <c r="Y34" s="152"/>
      <c r="Z34" s="158" t="str">
        <f>IF(ISERROR(VLOOKUP(Y34,'4 - SGs'!$A$4:$E$24,2)),"",VLOOKUP(Y34,'4 - SGs'!$A$4:$E$24,2))</f>
        <v/>
      </c>
      <c r="AA34" s="149"/>
      <c r="AB34" s="149"/>
      <c r="AC34" s="149"/>
      <c r="AD34" s="149"/>
      <c r="AE34" s="153"/>
    </row>
    <row r="35" spans="1:31" s="150" customFormat="1" ht="12">
      <c r="A35" s="157"/>
      <c r="B35" s="157"/>
      <c r="C35" s="151"/>
      <c r="D35" s="157"/>
      <c r="E35" s="157"/>
      <c r="F35" s="157"/>
      <c r="G35" s="157"/>
      <c r="H35" s="157"/>
      <c r="I35" s="157"/>
      <c r="J35" s="157"/>
      <c r="K35" s="154"/>
      <c r="L35" s="154"/>
      <c r="M35" s="151"/>
      <c r="N35" s="157"/>
      <c r="O35" s="157"/>
      <c r="P35" s="152"/>
      <c r="Q35" s="157"/>
      <c r="R35" s="152"/>
      <c r="S35" s="157"/>
      <c r="T35" s="152"/>
      <c r="U35" s="157"/>
      <c r="V35" s="151"/>
      <c r="W35" s="151"/>
      <c r="X35" s="155" t="str">
        <f t="shared" si="0"/>
        <v/>
      </c>
      <c r="Y35" s="152"/>
      <c r="Z35" s="158" t="str">
        <f>IF(ISERROR(VLOOKUP(Y35,'4 - SGs'!$A$4:$E$24,2)),"",VLOOKUP(Y35,'4 - SGs'!$A$4:$E$24,2))</f>
        <v/>
      </c>
      <c r="AA35" s="149"/>
      <c r="AB35" s="149"/>
      <c r="AC35" s="149"/>
      <c r="AD35" s="149"/>
      <c r="AE35" s="153"/>
    </row>
    <row r="36" spans="1:31" s="150" customFormat="1" ht="12">
      <c r="A36" s="157"/>
      <c r="B36" s="157"/>
      <c r="C36" s="151"/>
      <c r="D36" s="157"/>
      <c r="E36" s="157"/>
      <c r="F36" s="157"/>
      <c r="G36" s="157"/>
      <c r="H36" s="157"/>
      <c r="I36" s="157"/>
      <c r="J36" s="157"/>
      <c r="K36" s="154"/>
      <c r="L36" s="154"/>
      <c r="M36" s="151"/>
      <c r="N36" s="157"/>
      <c r="O36" s="157"/>
      <c r="P36" s="152"/>
      <c r="Q36" s="157"/>
      <c r="R36" s="152"/>
      <c r="S36" s="157"/>
      <c r="T36" s="152"/>
      <c r="U36" s="157"/>
      <c r="V36" s="151"/>
      <c r="W36" s="151"/>
      <c r="X36" s="155" t="str">
        <f t="shared" si="0"/>
        <v/>
      </c>
      <c r="Y36" s="152"/>
      <c r="Z36" s="158" t="str">
        <f>IF(ISERROR(VLOOKUP(Y36,'4 - SGs'!$A$4:$E$24,2)),"",VLOOKUP(Y36,'4 - SGs'!$A$4:$E$24,2))</f>
        <v/>
      </c>
      <c r="AA36" s="149"/>
      <c r="AB36" s="149"/>
      <c r="AC36" s="149"/>
      <c r="AD36" s="149"/>
      <c r="AE36" s="153"/>
    </row>
    <row r="37" spans="1:31" s="150" customFormat="1" ht="12">
      <c r="A37" s="157"/>
      <c r="B37" s="157"/>
      <c r="C37" s="151"/>
      <c r="D37" s="157"/>
      <c r="E37" s="157"/>
      <c r="F37" s="157"/>
      <c r="G37" s="157"/>
      <c r="H37" s="157"/>
      <c r="I37" s="157"/>
      <c r="J37" s="157"/>
      <c r="K37" s="154"/>
      <c r="L37" s="154"/>
      <c r="M37" s="151"/>
      <c r="N37" s="157"/>
      <c r="O37" s="157"/>
      <c r="P37" s="152"/>
      <c r="Q37" s="157"/>
      <c r="R37" s="152"/>
      <c r="S37" s="157"/>
      <c r="T37" s="152"/>
      <c r="U37" s="157"/>
      <c r="V37" s="151"/>
      <c r="W37" s="151"/>
      <c r="X37" s="155" t="str">
        <f t="shared" si="0"/>
        <v/>
      </c>
      <c r="Y37" s="152"/>
      <c r="Z37" s="158" t="str">
        <f>IF(ISERROR(VLOOKUP(Y37,'4 - SGs'!$A$4:$E$24,2)),"",VLOOKUP(Y37,'4 - SGs'!$A$4:$E$24,2))</f>
        <v/>
      </c>
      <c r="AA37" s="149"/>
      <c r="AB37" s="149"/>
      <c r="AC37" s="149"/>
      <c r="AD37" s="149"/>
      <c r="AE37" s="153"/>
    </row>
    <row r="38" spans="1:31" s="150" customFormat="1" ht="12">
      <c r="A38" s="157"/>
      <c r="B38" s="157"/>
      <c r="C38" s="151"/>
      <c r="D38" s="157"/>
      <c r="E38" s="157"/>
      <c r="F38" s="157"/>
      <c r="G38" s="157"/>
      <c r="H38" s="157"/>
      <c r="I38" s="157"/>
      <c r="J38" s="157"/>
      <c r="K38" s="154"/>
      <c r="L38" s="154"/>
      <c r="M38" s="151"/>
      <c r="N38" s="157"/>
      <c r="O38" s="157"/>
      <c r="P38" s="152"/>
      <c r="Q38" s="157"/>
      <c r="R38" s="152"/>
      <c r="S38" s="157"/>
      <c r="T38" s="152"/>
      <c r="U38" s="157"/>
      <c r="V38" s="151"/>
      <c r="W38" s="151"/>
      <c r="X38" s="155" t="str">
        <f t="shared" si="0"/>
        <v/>
      </c>
      <c r="Y38" s="152"/>
      <c r="Z38" s="158" t="str">
        <f>IF(ISERROR(VLOOKUP(Y38,'4 - SGs'!$A$4:$E$24,2)),"",VLOOKUP(Y38,'4 - SGs'!$A$4:$E$24,2))</f>
        <v/>
      </c>
      <c r="AA38" s="149"/>
      <c r="AB38" s="149"/>
      <c r="AC38" s="149"/>
      <c r="AD38" s="149"/>
      <c r="AE38" s="153"/>
    </row>
    <row r="39" spans="1:31" s="150" customFormat="1" ht="12">
      <c r="A39" s="157"/>
      <c r="B39" s="157"/>
      <c r="C39" s="151"/>
      <c r="D39" s="157"/>
      <c r="E39" s="157"/>
      <c r="F39" s="157"/>
      <c r="G39" s="157"/>
      <c r="H39" s="157"/>
      <c r="I39" s="157"/>
      <c r="J39" s="157"/>
      <c r="K39" s="154"/>
      <c r="L39" s="154"/>
      <c r="M39" s="151"/>
      <c r="N39" s="157"/>
      <c r="O39" s="157"/>
      <c r="P39" s="152"/>
      <c r="Q39" s="157"/>
      <c r="R39" s="152"/>
      <c r="S39" s="157"/>
      <c r="T39" s="152"/>
      <c r="U39" s="157"/>
      <c r="V39" s="151"/>
      <c r="W39" s="151"/>
      <c r="X39" s="155" t="str">
        <f t="shared" si="0"/>
        <v/>
      </c>
      <c r="Y39" s="152"/>
      <c r="Z39" s="158" t="str">
        <f>IF(ISERROR(VLOOKUP(Y39,'4 - SGs'!$A$4:$E$24,2)),"",VLOOKUP(Y39,'4 - SGs'!$A$4:$E$24,2))</f>
        <v/>
      </c>
      <c r="AA39" s="149"/>
      <c r="AB39" s="149"/>
      <c r="AC39" s="149"/>
      <c r="AD39" s="149"/>
      <c r="AE39" s="153"/>
    </row>
    <row r="40" spans="1:31" s="150" customFormat="1" ht="12">
      <c r="A40" s="157"/>
      <c r="B40" s="157"/>
      <c r="C40" s="151"/>
      <c r="D40" s="157"/>
      <c r="E40" s="157"/>
      <c r="F40" s="157"/>
      <c r="G40" s="157"/>
      <c r="H40" s="157"/>
      <c r="I40" s="157"/>
      <c r="J40" s="157"/>
      <c r="K40" s="154"/>
      <c r="L40" s="154"/>
      <c r="M40" s="151"/>
      <c r="N40" s="157"/>
      <c r="O40" s="157"/>
      <c r="P40" s="152"/>
      <c r="Q40" s="157"/>
      <c r="R40" s="152"/>
      <c r="S40" s="157"/>
      <c r="T40" s="152"/>
      <c r="U40" s="157"/>
      <c r="V40" s="151"/>
      <c r="W40" s="151"/>
      <c r="X40" s="155" t="str">
        <f t="shared" si="0"/>
        <v/>
      </c>
      <c r="Y40" s="152"/>
      <c r="Z40" s="158" t="str">
        <f>IF(ISERROR(VLOOKUP(Y40,'4 - SGs'!$A$4:$E$24,2)),"",VLOOKUP(Y40,'4 - SGs'!$A$4:$E$24,2))</f>
        <v/>
      </c>
      <c r="AA40" s="149"/>
      <c r="AB40" s="149"/>
      <c r="AC40" s="149"/>
      <c r="AD40" s="149"/>
      <c r="AE40" s="153"/>
    </row>
    <row r="41" spans="1:31" s="150" customFormat="1" ht="12">
      <c r="A41" s="157"/>
      <c r="B41" s="157"/>
      <c r="C41" s="151"/>
      <c r="D41" s="157"/>
      <c r="E41" s="157"/>
      <c r="F41" s="157"/>
      <c r="G41" s="157"/>
      <c r="H41" s="157"/>
      <c r="I41" s="157"/>
      <c r="J41" s="157"/>
      <c r="K41" s="154"/>
      <c r="L41" s="154"/>
      <c r="M41" s="151"/>
      <c r="N41" s="157"/>
      <c r="O41" s="157"/>
      <c r="P41" s="152"/>
      <c r="Q41" s="157"/>
      <c r="R41" s="152"/>
      <c r="S41" s="157"/>
      <c r="T41" s="152"/>
      <c r="U41" s="157"/>
      <c r="V41" s="151"/>
      <c r="W41" s="151"/>
      <c r="X41" s="155" t="str">
        <f t="shared" si="0"/>
        <v/>
      </c>
      <c r="Y41" s="152"/>
      <c r="Z41" s="158" t="str">
        <f>IF(ISERROR(VLOOKUP(Y41,'4 - SGs'!$A$4:$E$24,2)),"",VLOOKUP(Y41,'4 - SGs'!$A$4:$E$24,2))</f>
        <v/>
      </c>
      <c r="AA41" s="149"/>
      <c r="AB41" s="149"/>
      <c r="AC41" s="149"/>
      <c r="AD41" s="149"/>
      <c r="AE41" s="153"/>
    </row>
    <row r="42" spans="1:31" s="150" customFormat="1" ht="12">
      <c r="A42" s="157"/>
      <c r="B42" s="157"/>
      <c r="C42" s="151"/>
      <c r="D42" s="157"/>
      <c r="E42" s="157"/>
      <c r="F42" s="157"/>
      <c r="G42" s="157"/>
      <c r="H42" s="157"/>
      <c r="I42" s="157"/>
      <c r="J42" s="157"/>
      <c r="K42" s="154"/>
      <c r="L42" s="154"/>
      <c r="M42" s="151"/>
      <c r="N42" s="157"/>
      <c r="O42" s="157"/>
      <c r="P42" s="152"/>
      <c r="Q42" s="157"/>
      <c r="R42" s="152"/>
      <c r="S42" s="157"/>
      <c r="T42" s="152"/>
      <c r="U42" s="157"/>
      <c r="V42" s="151"/>
      <c r="W42" s="151"/>
      <c r="X42" s="155" t="str">
        <f t="shared" si="0"/>
        <v/>
      </c>
      <c r="Y42" s="152"/>
      <c r="Z42" s="158" t="str">
        <f>IF(ISERROR(VLOOKUP(Y42,'4 - SGs'!$A$4:$E$24,2)),"",VLOOKUP(Y42,'4 - SGs'!$A$4:$E$24,2))</f>
        <v/>
      </c>
      <c r="AA42" s="149"/>
      <c r="AB42" s="149"/>
      <c r="AC42" s="149"/>
      <c r="AD42" s="149"/>
      <c r="AE42" s="153"/>
    </row>
    <row r="43" spans="1:31" s="150" customFormat="1" ht="12">
      <c r="A43" s="157"/>
      <c r="B43" s="157"/>
      <c r="C43" s="151"/>
      <c r="D43" s="157"/>
      <c r="E43" s="157"/>
      <c r="F43" s="157"/>
      <c r="G43" s="157"/>
      <c r="H43" s="157"/>
      <c r="I43" s="157"/>
      <c r="J43" s="157"/>
      <c r="K43" s="154"/>
      <c r="L43" s="154"/>
      <c r="M43" s="151"/>
      <c r="N43" s="157"/>
      <c r="O43" s="157"/>
      <c r="P43" s="152"/>
      <c r="Q43" s="157"/>
      <c r="R43" s="152"/>
      <c r="S43" s="157"/>
      <c r="T43" s="152"/>
      <c r="U43" s="157"/>
      <c r="V43" s="151"/>
      <c r="W43" s="151"/>
      <c r="X43" s="155" t="str">
        <f t="shared" si="0"/>
        <v/>
      </c>
      <c r="Y43" s="152"/>
      <c r="Z43" s="158" t="str">
        <f>IF(ISERROR(VLOOKUP(Y43,'4 - SGs'!$A$4:$E$24,2)),"",VLOOKUP(Y43,'4 - SGs'!$A$4:$E$24,2))</f>
        <v/>
      </c>
      <c r="AA43" s="149"/>
      <c r="AB43" s="149"/>
      <c r="AC43" s="149"/>
      <c r="AD43" s="149"/>
      <c r="AE43" s="153"/>
    </row>
    <row r="44" spans="1:31" s="150" customFormat="1" ht="12">
      <c r="A44" s="157"/>
      <c r="B44" s="157"/>
      <c r="C44" s="151"/>
      <c r="D44" s="157"/>
      <c r="E44" s="157"/>
      <c r="F44" s="157"/>
      <c r="G44" s="157"/>
      <c r="H44" s="157"/>
      <c r="I44" s="157"/>
      <c r="J44" s="157"/>
      <c r="K44" s="154"/>
      <c r="L44" s="154"/>
      <c r="M44" s="151"/>
      <c r="N44" s="157"/>
      <c r="O44" s="157"/>
      <c r="P44" s="152"/>
      <c r="Q44" s="157"/>
      <c r="R44" s="152"/>
      <c r="S44" s="157"/>
      <c r="T44" s="152"/>
      <c r="U44" s="157"/>
      <c r="V44" s="151"/>
      <c r="W44" s="151"/>
      <c r="X44" s="155" t="str">
        <f t="shared" si="0"/>
        <v/>
      </c>
      <c r="Y44" s="152"/>
      <c r="Z44" s="158" t="str">
        <f>IF(ISERROR(VLOOKUP(Y44,'4 - SGs'!$A$4:$E$24,2)),"",VLOOKUP(Y44,'4 - SGs'!$A$4:$E$24,2))</f>
        <v/>
      </c>
      <c r="AA44" s="149"/>
      <c r="AB44" s="149"/>
      <c r="AC44" s="149"/>
      <c r="AD44" s="149"/>
      <c r="AE44" s="153"/>
    </row>
    <row r="45" spans="1:31" s="150" customFormat="1" ht="12">
      <c r="A45" s="157"/>
      <c r="B45" s="157"/>
      <c r="C45" s="151"/>
      <c r="D45" s="157"/>
      <c r="E45" s="157"/>
      <c r="F45" s="157"/>
      <c r="G45" s="157"/>
      <c r="H45" s="157"/>
      <c r="I45" s="157"/>
      <c r="J45" s="157"/>
      <c r="K45" s="154"/>
      <c r="L45" s="154"/>
      <c r="M45" s="151"/>
      <c r="N45" s="157"/>
      <c r="O45" s="157"/>
      <c r="P45" s="152"/>
      <c r="Q45" s="157"/>
      <c r="R45" s="152"/>
      <c r="S45" s="157"/>
      <c r="T45" s="152"/>
      <c r="U45" s="157"/>
      <c r="V45" s="151"/>
      <c r="W45" s="151"/>
      <c r="X45" s="155" t="str">
        <f t="shared" si="0"/>
        <v/>
      </c>
      <c r="Y45" s="152"/>
      <c r="Z45" s="158" t="str">
        <f>IF(ISERROR(VLOOKUP(Y45,'4 - SGs'!$A$4:$E$24,2)),"",VLOOKUP(Y45,'4 - SGs'!$A$4:$E$24,2))</f>
        <v/>
      </c>
      <c r="AA45" s="149"/>
      <c r="AB45" s="149"/>
      <c r="AC45" s="149"/>
      <c r="AD45" s="149"/>
      <c r="AE45" s="153"/>
    </row>
    <row r="46" spans="1:31" s="150" customFormat="1" ht="12">
      <c r="A46" s="157"/>
      <c r="B46" s="157"/>
      <c r="C46" s="151"/>
      <c r="D46" s="157"/>
      <c r="E46" s="157"/>
      <c r="F46" s="157"/>
      <c r="G46" s="157"/>
      <c r="H46" s="157"/>
      <c r="I46" s="157"/>
      <c r="J46" s="157"/>
      <c r="K46" s="154"/>
      <c r="L46" s="154"/>
      <c r="M46" s="151"/>
      <c r="N46" s="157"/>
      <c r="O46" s="157"/>
      <c r="P46" s="152"/>
      <c r="Q46" s="157"/>
      <c r="R46" s="152"/>
      <c r="S46" s="157"/>
      <c r="T46" s="152"/>
      <c r="U46" s="157"/>
      <c r="V46" s="151"/>
      <c r="W46" s="151"/>
      <c r="X46" s="155" t="str">
        <f t="shared" si="0"/>
        <v/>
      </c>
      <c r="Y46" s="152"/>
      <c r="Z46" s="158" t="str">
        <f>IF(ISERROR(VLOOKUP(Y46,'4 - SGs'!$A$4:$E$24,2)),"",VLOOKUP(Y46,'4 - SGs'!$A$4:$E$24,2))</f>
        <v/>
      </c>
      <c r="AA46" s="149"/>
      <c r="AB46" s="149"/>
      <c r="AC46" s="149"/>
      <c r="AD46" s="149"/>
      <c r="AE46" s="153"/>
    </row>
    <row r="47" spans="1:31" s="150" customFormat="1" ht="12">
      <c r="A47" s="157"/>
      <c r="B47" s="157"/>
      <c r="C47" s="151"/>
      <c r="D47" s="157"/>
      <c r="E47" s="157"/>
      <c r="F47" s="157"/>
      <c r="G47" s="157"/>
      <c r="H47" s="157"/>
      <c r="I47" s="157"/>
      <c r="J47" s="157"/>
      <c r="K47" s="154"/>
      <c r="L47" s="154"/>
      <c r="M47" s="151"/>
      <c r="N47" s="157"/>
      <c r="O47" s="157"/>
      <c r="P47" s="152"/>
      <c r="Q47" s="157"/>
      <c r="R47" s="152"/>
      <c r="S47" s="157"/>
      <c r="T47" s="152"/>
      <c r="U47" s="157"/>
      <c r="V47" s="151"/>
      <c r="W47" s="151"/>
      <c r="X47" s="155" t="str">
        <f t="shared" si="0"/>
        <v/>
      </c>
      <c r="Y47" s="152"/>
      <c r="Z47" s="158" t="str">
        <f>IF(ISERROR(VLOOKUP(Y47,'4 - SGs'!$A$4:$E$24,2)),"",VLOOKUP(Y47,'4 - SGs'!$A$4:$E$24,2))</f>
        <v/>
      </c>
      <c r="AA47" s="149"/>
      <c r="AB47" s="149"/>
      <c r="AC47" s="149"/>
      <c r="AD47" s="149"/>
      <c r="AE47" s="153"/>
    </row>
    <row r="48" spans="1:31" s="150" customFormat="1" ht="12">
      <c r="A48" s="157"/>
      <c r="B48" s="157"/>
      <c r="C48" s="151"/>
      <c r="D48" s="157"/>
      <c r="E48" s="157"/>
      <c r="F48" s="157"/>
      <c r="G48" s="157"/>
      <c r="H48" s="157"/>
      <c r="I48" s="157"/>
      <c r="J48" s="157"/>
      <c r="K48" s="154"/>
      <c r="L48" s="154"/>
      <c r="M48" s="151"/>
      <c r="N48" s="157"/>
      <c r="O48" s="157"/>
      <c r="P48" s="152"/>
      <c r="Q48" s="157"/>
      <c r="R48" s="152"/>
      <c r="S48" s="157"/>
      <c r="T48" s="152"/>
      <c r="U48" s="157"/>
      <c r="V48" s="151"/>
      <c r="W48" s="151"/>
      <c r="X48" s="155" t="str">
        <f t="shared" si="0"/>
        <v/>
      </c>
      <c r="Y48" s="152"/>
      <c r="Z48" s="158" t="str">
        <f>IF(ISERROR(VLOOKUP(Y48,'4 - SGs'!$A$4:$E$24,2)),"",VLOOKUP(Y48,'4 - SGs'!$A$4:$E$24,2))</f>
        <v/>
      </c>
      <c r="AA48" s="149"/>
      <c r="AB48" s="149"/>
      <c r="AC48" s="149"/>
      <c r="AD48" s="149"/>
      <c r="AE48" s="153"/>
    </row>
    <row r="49" spans="1:31" s="150" customFormat="1" ht="12">
      <c r="A49" s="157"/>
      <c r="B49" s="157"/>
      <c r="C49" s="151"/>
      <c r="D49" s="157"/>
      <c r="E49" s="157"/>
      <c r="F49" s="157"/>
      <c r="G49" s="157"/>
      <c r="H49" s="157"/>
      <c r="I49" s="157"/>
      <c r="J49" s="157"/>
      <c r="K49" s="154"/>
      <c r="L49" s="154"/>
      <c r="M49" s="151"/>
      <c r="N49" s="157"/>
      <c r="O49" s="157"/>
      <c r="P49" s="152"/>
      <c r="Q49" s="157"/>
      <c r="R49" s="152"/>
      <c r="S49" s="157"/>
      <c r="T49" s="152"/>
      <c r="U49" s="157"/>
      <c r="V49" s="151"/>
      <c r="W49" s="151"/>
      <c r="X49" s="155" t="str">
        <f t="shared" si="0"/>
        <v/>
      </c>
      <c r="Y49" s="152"/>
      <c r="Z49" s="158" t="str">
        <f>IF(ISERROR(VLOOKUP(Y49,'4 - SGs'!$A$4:$E$24,2)),"",VLOOKUP(Y49,'4 - SGs'!$A$4:$E$24,2))</f>
        <v/>
      </c>
      <c r="AA49" s="149"/>
      <c r="AB49" s="149"/>
      <c r="AC49" s="149"/>
      <c r="AD49" s="149"/>
      <c r="AE49" s="153"/>
    </row>
    <row r="50" spans="1:31" s="150" customFormat="1" ht="12">
      <c r="A50" s="157"/>
      <c r="B50" s="157"/>
      <c r="C50" s="151"/>
      <c r="D50" s="157"/>
      <c r="E50" s="157"/>
      <c r="F50" s="157"/>
      <c r="G50" s="157"/>
      <c r="H50" s="157"/>
      <c r="I50" s="157"/>
      <c r="J50" s="157"/>
      <c r="K50" s="154"/>
      <c r="L50" s="154"/>
      <c r="M50" s="151"/>
      <c r="N50" s="157"/>
      <c r="O50" s="157"/>
      <c r="P50" s="152"/>
      <c r="Q50" s="157"/>
      <c r="R50" s="152"/>
      <c r="S50" s="157"/>
      <c r="T50" s="152"/>
      <c r="U50" s="157"/>
      <c r="V50" s="151"/>
      <c r="W50" s="151"/>
      <c r="X50" s="155" t="str">
        <f t="shared" si="0"/>
        <v/>
      </c>
      <c r="Y50" s="152"/>
      <c r="Z50" s="158" t="str">
        <f>IF(ISERROR(VLOOKUP(Y50,'4 - SGs'!$A$4:$E$24,2)),"",VLOOKUP(Y50,'4 - SGs'!$A$4:$E$24,2))</f>
        <v/>
      </c>
      <c r="AA50" s="149"/>
      <c r="AB50" s="149"/>
      <c r="AC50" s="149"/>
      <c r="AD50" s="149"/>
      <c r="AE50" s="153"/>
    </row>
    <row r="51" spans="1:31" s="150" customFormat="1" ht="12">
      <c r="A51" s="157"/>
      <c r="B51" s="157"/>
      <c r="C51" s="151"/>
      <c r="D51" s="157"/>
      <c r="E51" s="157"/>
      <c r="F51" s="157"/>
      <c r="G51" s="157"/>
      <c r="H51" s="157"/>
      <c r="I51" s="157"/>
      <c r="J51" s="157"/>
      <c r="K51" s="154"/>
      <c r="L51" s="154"/>
      <c r="M51" s="151"/>
      <c r="N51" s="157"/>
      <c r="O51" s="157"/>
      <c r="P51" s="152"/>
      <c r="Q51" s="157"/>
      <c r="R51" s="152"/>
      <c r="S51" s="157"/>
      <c r="T51" s="152"/>
      <c r="U51" s="157"/>
      <c r="V51" s="151"/>
      <c r="W51" s="151"/>
      <c r="X51" s="155" t="str">
        <f t="shared" si="0"/>
        <v/>
      </c>
      <c r="Y51" s="152"/>
      <c r="Z51" s="158" t="str">
        <f>IF(ISERROR(VLOOKUP(Y51,'4 - SGs'!$A$4:$E$24,2)),"",VLOOKUP(Y51,'4 - SGs'!$A$4:$E$24,2))</f>
        <v/>
      </c>
      <c r="AA51" s="149"/>
      <c r="AB51" s="149"/>
      <c r="AC51" s="149"/>
      <c r="AD51" s="149"/>
      <c r="AE51" s="153"/>
    </row>
    <row r="52" spans="1:31" s="150" customFormat="1" ht="12">
      <c r="A52" s="157"/>
      <c r="B52" s="157"/>
      <c r="C52" s="151"/>
      <c r="D52" s="157"/>
      <c r="E52" s="157"/>
      <c r="F52" s="157"/>
      <c r="G52" s="157"/>
      <c r="H52" s="157"/>
      <c r="I52" s="157"/>
      <c r="J52" s="157"/>
      <c r="K52" s="154"/>
      <c r="L52" s="154"/>
      <c r="M52" s="151"/>
      <c r="N52" s="157"/>
      <c r="O52" s="157"/>
      <c r="P52" s="152"/>
      <c r="Q52" s="157"/>
      <c r="R52" s="152"/>
      <c r="S52" s="157"/>
      <c r="T52" s="152"/>
      <c r="U52" s="157"/>
      <c r="V52" s="151"/>
      <c r="W52" s="151"/>
      <c r="X52" s="155" t="str">
        <f t="shared" si="0"/>
        <v/>
      </c>
      <c r="Y52" s="152"/>
      <c r="Z52" s="158" t="str">
        <f>IF(ISERROR(VLOOKUP(Y52,'4 - SGs'!$A$4:$E$24,2)),"",VLOOKUP(Y52,'4 - SGs'!$A$4:$E$24,2))</f>
        <v/>
      </c>
      <c r="AA52" s="149"/>
      <c r="AB52" s="149"/>
      <c r="AC52" s="149"/>
      <c r="AD52" s="149"/>
      <c r="AE52" s="153"/>
    </row>
    <row r="53" spans="1:31" s="150" customFormat="1" ht="12">
      <c r="A53" s="157"/>
      <c r="B53" s="157"/>
      <c r="C53" s="151"/>
      <c r="D53" s="157"/>
      <c r="E53" s="157"/>
      <c r="F53" s="157"/>
      <c r="G53" s="157"/>
      <c r="H53" s="157"/>
      <c r="I53" s="157"/>
      <c r="J53" s="157"/>
      <c r="K53" s="154"/>
      <c r="L53" s="154"/>
      <c r="M53" s="151"/>
      <c r="N53" s="157"/>
      <c r="O53" s="157"/>
      <c r="P53" s="152"/>
      <c r="Q53" s="157"/>
      <c r="R53" s="152"/>
      <c r="S53" s="157"/>
      <c r="T53" s="152"/>
      <c r="U53" s="157"/>
      <c r="V53" s="151"/>
      <c r="W53" s="151"/>
      <c r="X53" s="155" t="str">
        <f t="shared" si="0"/>
        <v/>
      </c>
      <c r="Y53" s="152"/>
      <c r="Z53" s="158" t="str">
        <f>IF(ISERROR(VLOOKUP(Y53,'4 - SGs'!$A$4:$E$24,2)),"",VLOOKUP(Y53,'4 - SGs'!$A$4:$E$24,2))</f>
        <v/>
      </c>
      <c r="AA53" s="149"/>
      <c r="AB53" s="149"/>
      <c r="AC53" s="149"/>
      <c r="AD53" s="149"/>
      <c r="AE53" s="153"/>
    </row>
    <row r="54" spans="1:31" s="150" customFormat="1" ht="12">
      <c r="A54" s="157"/>
      <c r="B54" s="157"/>
      <c r="C54" s="151"/>
      <c r="D54" s="157"/>
      <c r="E54" s="157"/>
      <c r="F54" s="157"/>
      <c r="G54" s="157"/>
      <c r="H54" s="157"/>
      <c r="I54" s="157"/>
      <c r="J54" s="157"/>
      <c r="K54" s="154"/>
      <c r="L54" s="154"/>
      <c r="M54" s="151"/>
      <c r="N54" s="157"/>
      <c r="O54" s="157"/>
      <c r="P54" s="152"/>
      <c r="Q54" s="157"/>
      <c r="R54" s="152"/>
      <c r="S54" s="157"/>
      <c r="T54" s="152"/>
      <c r="U54" s="157"/>
      <c r="V54" s="151"/>
      <c r="W54" s="151"/>
      <c r="X54" s="155" t="str">
        <f t="shared" si="0"/>
        <v/>
      </c>
      <c r="Y54" s="152"/>
      <c r="Z54" s="158" t="str">
        <f>IF(ISERROR(VLOOKUP(Y54,'4 - SGs'!$A$4:$E$24,2)),"",VLOOKUP(Y54,'4 - SGs'!$A$4:$E$24,2))</f>
        <v/>
      </c>
      <c r="AA54" s="149"/>
      <c r="AB54" s="149"/>
      <c r="AC54" s="149"/>
      <c r="AD54" s="149"/>
      <c r="AE54" s="153"/>
    </row>
    <row r="55" spans="1:31" s="150" customFormat="1" ht="12">
      <c r="A55" s="157"/>
      <c r="B55" s="157"/>
      <c r="C55" s="151"/>
      <c r="D55" s="157"/>
      <c r="E55" s="157"/>
      <c r="F55" s="157"/>
      <c r="G55" s="157"/>
      <c r="H55" s="157"/>
      <c r="I55" s="157"/>
      <c r="J55" s="157"/>
      <c r="K55" s="154"/>
      <c r="L55" s="154"/>
      <c r="M55" s="151"/>
      <c r="N55" s="157"/>
      <c r="O55" s="157"/>
      <c r="P55" s="152"/>
      <c r="Q55" s="157"/>
      <c r="R55" s="152"/>
      <c r="S55" s="157"/>
      <c r="T55" s="152"/>
      <c r="U55" s="157"/>
      <c r="V55" s="151"/>
      <c r="W55" s="151"/>
      <c r="X55" s="155" t="str">
        <f t="shared" si="0"/>
        <v/>
      </c>
      <c r="Y55" s="152"/>
      <c r="Z55" s="158" t="str">
        <f>IF(ISERROR(VLOOKUP(Y55,'4 - SGs'!$A$4:$E$24,2)),"",VLOOKUP(Y55,'4 - SGs'!$A$4:$E$24,2))</f>
        <v/>
      </c>
      <c r="AA55" s="149"/>
      <c r="AB55" s="149"/>
      <c r="AC55" s="149"/>
      <c r="AD55" s="149"/>
      <c r="AE55" s="153"/>
    </row>
    <row r="56" spans="1:31" s="150" customFormat="1" ht="12">
      <c r="A56" s="157"/>
      <c r="B56" s="157"/>
      <c r="C56" s="151"/>
      <c r="D56" s="157"/>
      <c r="E56" s="157"/>
      <c r="F56" s="157"/>
      <c r="G56" s="157"/>
      <c r="H56" s="157"/>
      <c r="I56" s="157"/>
      <c r="J56" s="157"/>
      <c r="K56" s="154"/>
      <c r="L56" s="154"/>
      <c r="M56" s="151"/>
      <c r="N56" s="157"/>
      <c r="O56" s="157"/>
      <c r="P56" s="152"/>
      <c r="Q56" s="157"/>
      <c r="R56" s="152"/>
      <c r="S56" s="157"/>
      <c r="T56" s="152"/>
      <c r="U56" s="157"/>
      <c r="V56" s="151"/>
      <c r="W56" s="151"/>
      <c r="X56" s="155" t="str">
        <f t="shared" si="0"/>
        <v/>
      </c>
      <c r="Y56" s="152"/>
      <c r="Z56" s="158" t="str">
        <f>IF(ISERROR(VLOOKUP(Y56,'4 - SGs'!$A$4:$E$24,2)),"",VLOOKUP(Y56,'4 - SGs'!$A$4:$E$24,2))</f>
        <v/>
      </c>
      <c r="AA56" s="149"/>
      <c r="AB56" s="149"/>
      <c r="AC56" s="149"/>
      <c r="AD56" s="149"/>
      <c r="AE56" s="153"/>
    </row>
    <row r="57" spans="1:31" s="150" customFormat="1" ht="12">
      <c r="A57" s="157"/>
      <c r="B57" s="157"/>
      <c r="C57" s="151"/>
      <c r="D57" s="157"/>
      <c r="E57" s="157"/>
      <c r="F57" s="157"/>
      <c r="G57" s="157"/>
      <c r="H57" s="157"/>
      <c r="I57" s="157"/>
      <c r="J57" s="157"/>
      <c r="K57" s="154"/>
      <c r="L57" s="154"/>
      <c r="M57" s="151"/>
      <c r="N57" s="157"/>
      <c r="O57" s="157"/>
      <c r="P57" s="152"/>
      <c r="Q57" s="157"/>
      <c r="R57" s="152"/>
      <c r="S57" s="157"/>
      <c r="T57" s="152"/>
      <c r="U57" s="157"/>
      <c r="V57" s="151"/>
      <c r="W57" s="151"/>
      <c r="X57" s="155" t="str">
        <f t="shared" si="0"/>
        <v/>
      </c>
      <c r="Y57" s="152"/>
      <c r="Z57" s="158" t="str">
        <f>IF(ISERROR(VLOOKUP(Y57,'4 - SGs'!$A$4:$E$24,2)),"",VLOOKUP(Y57,'4 - SGs'!$A$4:$E$24,2))</f>
        <v/>
      </c>
      <c r="AA57" s="149"/>
      <c r="AB57" s="149"/>
      <c r="AC57" s="149"/>
      <c r="AD57" s="149"/>
      <c r="AE57" s="153"/>
    </row>
    <row r="58" spans="1:31" s="150" customFormat="1" ht="12">
      <c r="A58" s="157"/>
      <c r="B58" s="157"/>
      <c r="C58" s="151"/>
      <c r="D58" s="157"/>
      <c r="E58" s="157"/>
      <c r="F58" s="157"/>
      <c r="G58" s="157"/>
      <c r="H58" s="157"/>
      <c r="I58" s="157"/>
      <c r="J58" s="157"/>
      <c r="K58" s="154"/>
      <c r="L58" s="154"/>
      <c r="M58" s="151"/>
      <c r="N58" s="157"/>
      <c r="O58" s="157"/>
      <c r="P58" s="152"/>
      <c r="Q58" s="157"/>
      <c r="R58" s="152"/>
      <c r="S58" s="157"/>
      <c r="T58" s="152"/>
      <c r="U58" s="157"/>
      <c r="V58" s="151"/>
      <c r="W58" s="151"/>
      <c r="X58" s="155" t="str">
        <f t="shared" si="0"/>
        <v/>
      </c>
      <c r="Y58" s="152"/>
      <c r="Z58" s="158" t="str">
        <f>IF(ISERROR(VLOOKUP(Y58,'4 - SGs'!$A$4:$E$24,2)),"",VLOOKUP(Y58,'4 - SGs'!$A$4:$E$24,2))</f>
        <v/>
      </c>
      <c r="AA58" s="149"/>
      <c r="AB58" s="149"/>
      <c r="AC58" s="149"/>
      <c r="AD58" s="149"/>
      <c r="AE58" s="153"/>
    </row>
    <row r="59" spans="1:31" s="150" customFormat="1" ht="12">
      <c r="A59" s="157"/>
      <c r="B59" s="157"/>
      <c r="C59" s="151"/>
      <c r="D59" s="157"/>
      <c r="E59" s="157"/>
      <c r="F59" s="157"/>
      <c r="G59" s="157"/>
      <c r="H59" s="157"/>
      <c r="I59" s="157"/>
      <c r="J59" s="157"/>
      <c r="K59" s="154"/>
      <c r="L59" s="154"/>
      <c r="M59" s="151"/>
      <c r="N59" s="157"/>
      <c r="O59" s="157"/>
      <c r="P59" s="152"/>
      <c r="Q59" s="157"/>
      <c r="R59" s="152"/>
      <c r="S59" s="157"/>
      <c r="T59" s="152"/>
      <c r="U59" s="157"/>
      <c r="V59" s="151"/>
      <c r="W59" s="151"/>
      <c r="X59" s="155" t="str">
        <f t="shared" si="0"/>
        <v/>
      </c>
      <c r="Y59" s="152"/>
      <c r="Z59" s="158" t="str">
        <f>IF(ISERROR(VLOOKUP(Y59,'4 - SGs'!$A$4:$E$24,2)),"",VLOOKUP(Y59,'4 - SGs'!$A$4:$E$24,2))</f>
        <v/>
      </c>
      <c r="AA59" s="149"/>
      <c r="AB59" s="149"/>
      <c r="AC59" s="149"/>
      <c r="AD59" s="149"/>
      <c r="AE59" s="153"/>
    </row>
    <row r="60" spans="1:31" s="150" customFormat="1" ht="12">
      <c r="A60" s="157"/>
      <c r="B60" s="157"/>
      <c r="C60" s="151"/>
      <c r="D60" s="157"/>
      <c r="E60" s="157"/>
      <c r="F60" s="157"/>
      <c r="G60" s="157"/>
      <c r="H60" s="157"/>
      <c r="I60" s="157"/>
      <c r="J60" s="157"/>
      <c r="K60" s="154"/>
      <c r="L60" s="154"/>
      <c r="M60" s="151"/>
      <c r="N60" s="157"/>
      <c r="O60" s="157"/>
      <c r="P60" s="152"/>
      <c r="Q60" s="157"/>
      <c r="R60" s="152"/>
      <c r="S60" s="157"/>
      <c r="T60" s="152"/>
      <c r="U60" s="157"/>
      <c r="V60" s="151"/>
      <c r="W60" s="151"/>
      <c r="X60" s="155" t="str">
        <f t="shared" si="0"/>
        <v/>
      </c>
      <c r="Y60" s="152"/>
      <c r="Z60" s="158" t="str">
        <f>IF(ISERROR(VLOOKUP(Y60,'4 - SGs'!$A$4:$E$24,2)),"",VLOOKUP(Y60,'4 - SGs'!$A$4:$E$24,2))</f>
        <v/>
      </c>
      <c r="AA60" s="149"/>
      <c r="AB60" s="149"/>
      <c r="AC60" s="149"/>
      <c r="AD60" s="149"/>
      <c r="AE60" s="153"/>
    </row>
    <row r="61" spans="1:31" s="150" customFormat="1" ht="12">
      <c r="A61" s="157"/>
      <c r="B61" s="157"/>
      <c r="C61" s="151"/>
      <c r="D61" s="157"/>
      <c r="E61" s="157"/>
      <c r="F61" s="157"/>
      <c r="G61" s="157"/>
      <c r="H61" s="157"/>
      <c r="I61" s="157"/>
      <c r="J61" s="157"/>
      <c r="K61" s="154"/>
      <c r="L61" s="154"/>
      <c r="M61" s="151"/>
      <c r="N61" s="157"/>
      <c r="O61" s="157"/>
      <c r="P61" s="152"/>
      <c r="Q61" s="157"/>
      <c r="R61" s="152"/>
      <c r="S61" s="157"/>
      <c r="T61" s="152"/>
      <c r="U61" s="157"/>
      <c r="V61" s="151"/>
      <c r="W61" s="151"/>
      <c r="X61" s="155" t="str">
        <f t="shared" si="0"/>
        <v/>
      </c>
      <c r="Y61" s="152"/>
      <c r="Z61" s="158" t="str">
        <f>IF(ISERROR(VLOOKUP(Y61,'4 - SGs'!$A$4:$E$24,2)),"",VLOOKUP(Y61,'4 - SGs'!$A$4:$E$24,2))</f>
        <v/>
      </c>
      <c r="AA61" s="149"/>
      <c r="AB61" s="149"/>
      <c r="AC61" s="149"/>
      <c r="AD61" s="149"/>
      <c r="AE61" s="153"/>
    </row>
    <row r="62" spans="1:31" s="150" customFormat="1" ht="12">
      <c r="A62" s="157"/>
      <c r="B62" s="157"/>
      <c r="C62" s="151"/>
      <c r="D62" s="157"/>
      <c r="E62" s="157"/>
      <c r="F62" s="157"/>
      <c r="G62" s="157"/>
      <c r="H62" s="157"/>
      <c r="I62" s="157"/>
      <c r="J62" s="157"/>
      <c r="K62" s="154"/>
      <c r="L62" s="154"/>
      <c r="M62" s="151"/>
      <c r="N62" s="157"/>
      <c r="O62" s="157"/>
      <c r="P62" s="152"/>
      <c r="Q62" s="157"/>
      <c r="R62" s="152"/>
      <c r="S62" s="157"/>
      <c r="T62" s="152"/>
      <c r="U62" s="157"/>
      <c r="V62" s="151"/>
      <c r="W62" s="151"/>
      <c r="X62" s="155" t="str">
        <f t="shared" si="0"/>
        <v/>
      </c>
      <c r="Y62" s="152"/>
      <c r="Z62" s="158" t="str">
        <f>IF(ISERROR(VLOOKUP(Y62,'4 - SGs'!$A$4:$E$24,2)),"",VLOOKUP(Y62,'4 - SGs'!$A$4:$E$24,2))</f>
        <v/>
      </c>
      <c r="AA62" s="149"/>
      <c r="AB62" s="149"/>
      <c r="AC62" s="149"/>
      <c r="AD62" s="149"/>
      <c r="AE62" s="153"/>
    </row>
    <row r="63" spans="1:31" s="150" customFormat="1" ht="12">
      <c r="A63" s="157"/>
      <c r="B63" s="157"/>
      <c r="C63" s="151"/>
      <c r="D63" s="157"/>
      <c r="E63" s="157"/>
      <c r="F63" s="157"/>
      <c r="G63" s="157"/>
      <c r="H63" s="157"/>
      <c r="I63" s="157"/>
      <c r="J63" s="157"/>
      <c r="K63" s="154"/>
      <c r="L63" s="154"/>
      <c r="M63" s="151"/>
      <c r="N63" s="157"/>
      <c r="O63" s="157"/>
      <c r="P63" s="152"/>
      <c r="Q63" s="157"/>
      <c r="R63" s="152"/>
      <c r="S63" s="157"/>
      <c r="T63" s="152"/>
      <c r="U63" s="157"/>
      <c r="V63" s="151"/>
      <c r="W63" s="151"/>
      <c r="X63" s="155" t="str">
        <f t="shared" si="0"/>
        <v/>
      </c>
      <c r="Y63" s="152"/>
      <c r="Z63" s="158" t="str">
        <f>IF(ISERROR(VLOOKUP(Y63,'4 - SGs'!$A$4:$E$24,2)),"",VLOOKUP(Y63,'4 - SGs'!$A$4:$E$24,2))</f>
        <v/>
      </c>
      <c r="AA63" s="149"/>
      <c r="AB63" s="149"/>
      <c r="AC63" s="149"/>
      <c r="AD63" s="149"/>
      <c r="AE63" s="153"/>
    </row>
    <row r="64" spans="1:31" s="150" customFormat="1" ht="12">
      <c r="A64" s="157"/>
      <c r="B64" s="157"/>
      <c r="C64" s="151"/>
      <c r="D64" s="157"/>
      <c r="E64" s="157"/>
      <c r="F64" s="157"/>
      <c r="G64" s="157"/>
      <c r="H64" s="157"/>
      <c r="I64" s="157"/>
      <c r="J64" s="157"/>
      <c r="K64" s="154"/>
      <c r="L64" s="154"/>
      <c r="M64" s="151"/>
      <c r="N64" s="157"/>
      <c r="O64" s="157"/>
      <c r="P64" s="152"/>
      <c r="Q64" s="157"/>
      <c r="R64" s="152"/>
      <c r="S64" s="157"/>
      <c r="T64" s="152"/>
      <c r="U64" s="157"/>
      <c r="V64" s="151"/>
      <c r="W64" s="151"/>
      <c r="X64" s="155" t="str">
        <f t="shared" si="0"/>
        <v/>
      </c>
      <c r="Y64" s="152"/>
      <c r="Z64" s="158" t="str">
        <f>IF(ISERROR(VLOOKUP(Y64,'4 - SGs'!$A$4:$E$24,2)),"",VLOOKUP(Y64,'4 - SGs'!$A$4:$E$24,2))</f>
        <v/>
      </c>
      <c r="AA64" s="149"/>
      <c r="AB64" s="149"/>
      <c r="AC64" s="149"/>
      <c r="AD64" s="149"/>
      <c r="AE64" s="153"/>
    </row>
    <row r="65" spans="1:31" s="150" customFormat="1" ht="12">
      <c r="A65" s="157"/>
      <c r="B65" s="157"/>
      <c r="C65" s="151"/>
      <c r="D65" s="157"/>
      <c r="E65" s="157"/>
      <c r="F65" s="157"/>
      <c r="G65" s="157"/>
      <c r="H65" s="157"/>
      <c r="I65" s="157"/>
      <c r="J65" s="157"/>
      <c r="K65" s="154"/>
      <c r="L65" s="154"/>
      <c r="M65" s="151"/>
      <c r="N65" s="157"/>
      <c r="O65" s="157"/>
      <c r="P65" s="152"/>
      <c r="Q65" s="157"/>
      <c r="R65" s="152"/>
      <c r="S65" s="157"/>
      <c r="T65" s="152"/>
      <c r="U65" s="157"/>
      <c r="V65" s="151"/>
      <c r="W65" s="151"/>
      <c r="X65" s="155" t="str">
        <f t="shared" ref="X65:X128" si="2">IF(AND(ISBLANK(S_Wert),ISBLANK(E_Wert),ISBLANK(C_Wert)),"",IF(OR(S_Wert="S0",C_Wert="C0"),"",IF(E_Wert="E0","QM",IF(AND(S_Wert="-",E_Wert="-",C_Wert="-"),"?",VLOOKUP(S_Wert&amp;E_Wert,ASIL_Tabelle,MATCH(C_Wert,Controllability,0)+1,FALSE)))))</f>
        <v/>
      </c>
      <c r="Y65" s="152"/>
      <c r="Z65" s="158" t="str">
        <f>IF(ISERROR(VLOOKUP(Y65,'4 - SGs'!$A$4:$E$24,2)),"",VLOOKUP(Y65,'4 - SGs'!$A$4:$E$24,2))</f>
        <v/>
      </c>
      <c r="AA65" s="149"/>
      <c r="AB65" s="149"/>
      <c r="AC65" s="149"/>
      <c r="AD65" s="149"/>
      <c r="AE65" s="153"/>
    </row>
    <row r="66" spans="1:31" s="150" customFormat="1" ht="12">
      <c r="A66" s="157"/>
      <c r="B66" s="157"/>
      <c r="C66" s="151"/>
      <c r="D66" s="157"/>
      <c r="E66" s="157"/>
      <c r="F66" s="157"/>
      <c r="G66" s="157"/>
      <c r="H66" s="157"/>
      <c r="I66" s="157"/>
      <c r="J66" s="157"/>
      <c r="K66" s="154"/>
      <c r="L66" s="154"/>
      <c r="M66" s="151"/>
      <c r="N66" s="157"/>
      <c r="O66" s="157"/>
      <c r="P66" s="152"/>
      <c r="Q66" s="157"/>
      <c r="R66" s="152"/>
      <c r="S66" s="157"/>
      <c r="T66" s="152"/>
      <c r="U66" s="157"/>
      <c r="V66" s="151"/>
      <c r="W66" s="151"/>
      <c r="X66" s="155" t="str">
        <f t="shared" si="2"/>
        <v/>
      </c>
      <c r="Y66" s="152"/>
      <c r="Z66" s="158" t="str">
        <f>IF(ISERROR(VLOOKUP(Y66,'4 - SGs'!$A$4:$E$24,2)),"",VLOOKUP(Y66,'4 - SGs'!$A$4:$E$24,2))</f>
        <v/>
      </c>
      <c r="AA66" s="149"/>
      <c r="AB66" s="149"/>
      <c r="AC66" s="149"/>
      <c r="AD66" s="149"/>
      <c r="AE66" s="153"/>
    </row>
    <row r="67" spans="1:31" s="150" customFormat="1" ht="12">
      <c r="A67" s="157"/>
      <c r="B67" s="157"/>
      <c r="C67" s="151"/>
      <c r="D67" s="157"/>
      <c r="E67" s="157"/>
      <c r="F67" s="157"/>
      <c r="G67" s="157"/>
      <c r="H67" s="157"/>
      <c r="I67" s="157"/>
      <c r="J67" s="157"/>
      <c r="K67" s="154"/>
      <c r="L67" s="154"/>
      <c r="M67" s="151"/>
      <c r="N67" s="157"/>
      <c r="O67" s="157"/>
      <c r="P67" s="152"/>
      <c r="Q67" s="157"/>
      <c r="R67" s="152"/>
      <c r="S67" s="157"/>
      <c r="T67" s="152"/>
      <c r="U67" s="157"/>
      <c r="V67" s="151"/>
      <c r="W67" s="151"/>
      <c r="X67" s="155" t="str">
        <f t="shared" si="2"/>
        <v/>
      </c>
      <c r="Y67" s="152"/>
      <c r="Z67" s="158" t="str">
        <f>IF(ISERROR(VLOOKUP(Y67,'4 - SGs'!$A$4:$E$24,2)),"",VLOOKUP(Y67,'4 - SGs'!$A$4:$E$24,2))</f>
        <v/>
      </c>
      <c r="AA67" s="149"/>
      <c r="AB67" s="149"/>
      <c r="AC67" s="149"/>
      <c r="AD67" s="149"/>
      <c r="AE67" s="153"/>
    </row>
    <row r="68" spans="1:31" s="150" customFormat="1" ht="12">
      <c r="A68" s="157"/>
      <c r="B68" s="157"/>
      <c r="C68" s="151"/>
      <c r="D68" s="157"/>
      <c r="E68" s="157"/>
      <c r="F68" s="157"/>
      <c r="G68" s="157"/>
      <c r="H68" s="157"/>
      <c r="I68" s="157"/>
      <c r="J68" s="157"/>
      <c r="K68" s="154"/>
      <c r="L68" s="154"/>
      <c r="M68" s="151"/>
      <c r="N68" s="157"/>
      <c r="O68" s="157"/>
      <c r="P68" s="152"/>
      <c r="Q68" s="157"/>
      <c r="R68" s="152"/>
      <c r="S68" s="157"/>
      <c r="T68" s="152"/>
      <c r="U68" s="157"/>
      <c r="V68" s="151"/>
      <c r="W68" s="151"/>
      <c r="X68" s="155" t="str">
        <f t="shared" si="2"/>
        <v/>
      </c>
      <c r="Y68" s="152"/>
      <c r="Z68" s="158" t="str">
        <f>IF(ISERROR(VLOOKUP(Y68,'4 - SGs'!$A$4:$E$24,2)),"",VLOOKUP(Y68,'4 - SGs'!$A$4:$E$24,2))</f>
        <v/>
      </c>
      <c r="AA68" s="149"/>
      <c r="AB68" s="149"/>
      <c r="AC68" s="149"/>
      <c r="AD68" s="149"/>
      <c r="AE68" s="153"/>
    </row>
    <row r="69" spans="1:31" s="150" customFormat="1" ht="12">
      <c r="A69" s="157"/>
      <c r="B69" s="157"/>
      <c r="C69" s="151"/>
      <c r="D69" s="157"/>
      <c r="E69" s="157"/>
      <c r="F69" s="157"/>
      <c r="G69" s="157"/>
      <c r="H69" s="157"/>
      <c r="I69" s="157"/>
      <c r="J69" s="157"/>
      <c r="K69" s="154"/>
      <c r="L69" s="154"/>
      <c r="M69" s="151"/>
      <c r="N69" s="157"/>
      <c r="O69" s="157"/>
      <c r="P69" s="152"/>
      <c r="Q69" s="157"/>
      <c r="R69" s="152"/>
      <c r="S69" s="157"/>
      <c r="T69" s="152"/>
      <c r="U69" s="157"/>
      <c r="V69" s="151"/>
      <c r="W69" s="151"/>
      <c r="X69" s="155" t="str">
        <f t="shared" si="2"/>
        <v/>
      </c>
      <c r="Y69" s="152"/>
      <c r="Z69" s="158" t="str">
        <f>IF(ISERROR(VLOOKUP(Y69,'4 - SGs'!$A$4:$E$24,2)),"",VLOOKUP(Y69,'4 - SGs'!$A$4:$E$24,2))</f>
        <v/>
      </c>
      <c r="AA69" s="149"/>
      <c r="AB69" s="149"/>
      <c r="AC69" s="149"/>
      <c r="AD69" s="149"/>
      <c r="AE69" s="153"/>
    </row>
    <row r="70" spans="1:31" s="150" customFormat="1" ht="12">
      <c r="A70" s="157"/>
      <c r="B70" s="157"/>
      <c r="C70" s="151"/>
      <c r="D70" s="157"/>
      <c r="E70" s="157"/>
      <c r="F70" s="157"/>
      <c r="G70" s="157"/>
      <c r="H70" s="157"/>
      <c r="I70" s="157"/>
      <c r="J70" s="157"/>
      <c r="K70" s="154"/>
      <c r="L70" s="154"/>
      <c r="M70" s="151"/>
      <c r="N70" s="157"/>
      <c r="O70" s="157"/>
      <c r="P70" s="152"/>
      <c r="Q70" s="157"/>
      <c r="R70" s="152"/>
      <c r="S70" s="157"/>
      <c r="T70" s="152"/>
      <c r="U70" s="157"/>
      <c r="V70" s="151"/>
      <c r="W70" s="151"/>
      <c r="X70" s="155" t="str">
        <f t="shared" si="2"/>
        <v/>
      </c>
      <c r="Y70" s="152"/>
      <c r="Z70" s="158" t="str">
        <f>IF(ISERROR(VLOOKUP(Y70,'4 - SGs'!$A$4:$E$24,2)),"",VLOOKUP(Y70,'4 - SGs'!$A$4:$E$24,2))</f>
        <v/>
      </c>
      <c r="AA70" s="149"/>
      <c r="AB70" s="149"/>
      <c r="AC70" s="149"/>
      <c r="AD70" s="149"/>
      <c r="AE70" s="153"/>
    </row>
    <row r="71" spans="1:31" s="150" customFormat="1" ht="12">
      <c r="A71" s="157"/>
      <c r="B71" s="157"/>
      <c r="C71" s="151"/>
      <c r="D71" s="157"/>
      <c r="E71" s="157"/>
      <c r="F71" s="157"/>
      <c r="G71" s="157"/>
      <c r="H71" s="157"/>
      <c r="I71" s="157"/>
      <c r="J71" s="157"/>
      <c r="K71" s="154"/>
      <c r="L71" s="154"/>
      <c r="M71" s="151"/>
      <c r="N71" s="157"/>
      <c r="O71" s="157"/>
      <c r="P71" s="152"/>
      <c r="Q71" s="157"/>
      <c r="R71" s="152"/>
      <c r="S71" s="157"/>
      <c r="T71" s="152"/>
      <c r="U71" s="157"/>
      <c r="V71" s="151"/>
      <c r="W71" s="151"/>
      <c r="X71" s="155" t="str">
        <f t="shared" si="2"/>
        <v/>
      </c>
      <c r="Y71" s="152"/>
      <c r="Z71" s="158" t="str">
        <f>IF(ISERROR(VLOOKUP(Y71,'4 - SGs'!$A$4:$E$24,2)),"",VLOOKUP(Y71,'4 - SGs'!$A$4:$E$24,2))</f>
        <v/>
      </c>
      <c r="AA71" s="149"/>
      <c r="AB71" s="149"/>
      <c r="AC71" s="149"/>
      <c r="AD71" s="149"/>
      <c r="AE71" s="153"/>
    </row>
    <row r="72" spans="1:31" s="150" customFormat="1" ht="12">
      <c r="A72" s="157"/>
      <c r="B72" s="157"/>
      <c r="C72" s="151"/>
      <c r="D72" s="157"/>
      <c r="E72" s="157"/>
      <c r="F72" s="157"/>
      <c r="G72" s="157"/>
      <c r="H72" s="157"/>
      <c r="I72" s="157"/>
      <c r="J72" s="157"/>
      <c r="K72" s="154"/>
      <c r="L72" s="154"/>
      <c r="M72" s="151"/>
      <c r="N72" s="157"/>
      <c r="O72" s="157"/>
      <c r="P72" s="152"/>
      <c r="Q72" s="157"/>
      <c r="R72" s="152"/>
      <c r="S72" s="157"/>
      <c r="T72" s="152"/>
      <c r="U72" s="157"/>
      <c r="V72" s="151"/>
      <c r="W72" s="151"/>
      <c r="X72" s="155" t="str">
        <f t="shared" si="2"/>
        <v/>
      </c>
      <c r="Y72" s="152"/>
      <c r="Z72" s="158" t="str">
        <f>IF(ISERROR(VLOOKUP(Y72,'4 - SGs'!$A$4:$E$24,2)),"",VLOOKUP(Y72,'4 - SGs'!$A$4:$E$24,2))</f>
        <v/>
      </c>
      <c r="AA72" s="149"/>
      <c r="AB72" s="149"/>
      <c r="AC72" s="149"/>
      <c r="AD72" s="149"/>
      <c r="AE72" s="153"/>
    </row>
    <row r="73" spans="1:31" s="150" customFormat="1" ht="12">
      <c r="A73" s="157"/>
      <c r="B73" s="157"/>
      <c r="C73" s="151"/>
      <c r="D73" s="157"/>
      <c r="E73" s="157"/>
      <c r="F73" s="157"/>
      <c r="G73" s="157"/>
      <c r="H73" s="157"/>
      <c r="I73" s="157"/>
      <c r="J73" s="157"/>
      <c r="K73" s="154"/>
      <c r="L73" s="154"/>
      <c r="M73" s="151"/>
      <c r="N73" s="157"/>
      <c r="O73" s="157"/>
      <c r="P73" s="152"/>
      <c r="Q73" s="157"/>
      <c r="R73" s="152"/>
      <c r="S73" s="157"/>
      <c r="T73" s="152"/>
      <c r="U73" s="157"/>
      <c r="V73" s="151"/>
      <c r="W73" s="151"/>
      <c r="X73" s="155" t="str">
        <f t="shared" si="2"/>
        <v/>
      </c>
      <c r="Y73" s="152"/>
      <c r="Z73" s="158" t="str">
        <f>IF(ISERROR(VLOOKUP(Y73,'4 - SGs'!$A$4:$E$24,2)),"",VLOOKUP(Y73,'4 - SGs'!$A$4:$E$24,2))</f>
        <v/>
      </c>
      <c r="AA73" s="149"/>
      <c r="AB73" s="149"/>
      <c r="AC73" s="149"/>
      <c r="AD73" s="149"/>
      <c r="AE73" s="153"/>
    </row>
    <row r="74" spans="1:31" s="150" customFormat="1" ht="12">
      <c r="A74" s="157"/>
      <c r="B74" s="157"/>
      <c r="C74" s="151"/>
      <c r="D74" s="157"/>
      <c r="E74" s="157"/>
      <c r="F74" s="157"/>
      <c r="G74" s="157"/>
      <c r="H74" s="157"/>
      <c r="I74" s="157"/>
      <c r="J74" s="157"/>
      <c r="K74" s="154"/>
      <c r="L74" s="154"/>
      <c r="M74" s="151"/>
      <c r="N74" s="157"/>
      <c r="O74" s="157"/>
      <c r="P74" s="152"/>
      <c r="Q74" s="157"/>
      <c r="R74" s="152"/>
      <c r="S74" s="157"/>
      <c r="T74" s="152"/>
      <c r="U74" s="157"/>
      <c r="V74" s="151"/>
      <c r="W74" s="151"/>
      <c r="X74" s="155" t="str">
        <f t="shared" si="2"/>
        <v/>
      </c>
      <c r="Y74" s="152"/>
      <c r="Z74" s="158" t="str">
        <f>IF(ISERROR(VLOOKUP(Y74,'4 - SGs'!$A$4:$E$24,2)),"",VLOOKUP(Y74,'4 - SGs'!$A$4:$E$24,2))</f>
        <v/>
      </c>
      <c r="AA74" s="149"/>
      <c r="AB74" s="149"/>
      <c r="AC74" s="149"/>
      <c r="AD74" s="149"/>
      <c r="AE74" s="153"/>
    </row>
    <row r="75" spans="1:31" s="150" customFormat="1" ht="12">
      <c r="A75" s="157"/>
      <c r="B75" s="157"/>
      <c r="C75" s="151"/>
      <c r="D75" s="157"/>
      <c r="E75" s="157"/>
      <c r="F75" s="157"/>
      <c r="G75" s="157"/>
      <c r="H75" s="157"/>
      <c r="I75" s="157"/>
      <c r="J75" s="157"/>
      <c r="K75" s="154"/>
      <c r="L75" s="154"/>
      <c r="M75" s="151"/>
      <c r="N75" s="157"/>
      <c r="O75" s="157"/>
      <c r="P75" s="152"/>
      <c r="Q75" s="157"/>
      <c r="R75" s="152"/>
      <c r="S75" s="157"/>
      <c r="T75" s="152"/>
      <c r="U75" s="157"/>
      <c r="V75" s="151"/>
      <c r="W75" s="151"/>
      <c r="X75" s="155" t="str">
        <f t="shared" si="2"/>
        <v/>
      </c>
      <c r="Y75" s="152"/>
      <c r="Z75" s="158" t="str">
        <f>IF(ISERROR(VLOOKUP(Y75,'4 - SGs'!$A$4:$E$24,2)),"",VLOOKUP(Y75,'4 - SGs'!$A$4:$E$24,2))</f>
        <v/>
      </c>
      <c r="AA75" s="149"/>
      <c r="AB75" s="149"/>
      <c r="AC75" s="149"/>
      <c r="AD75" s="149"/>
      <c r="AE75" s="153"/>
    </row>
    <row r="76" spans="1:31" s="150" customFormat="1" ht="12">
      <c r="A76" s="157"/>
      <c r="B76" s="157"/>
      <c r="C76" s="151"/>
      <c r="D76" s="157"/>
      <c r="E76" s="157"/>
      <c r="F76" s="157"/>
      <c r="G76" s="157"/>
      <c r="H76" s="157"/>
      <c r="I76" s="157"/>
      <c r="J76" s="157"/>
      <c r="K76" s="154"/>
      <c r="L76" s="154"/>
      <c r="M76" s="151"/>
      <c r="N76" s="157"/>
      <c r="O76" s="157"/>
      <c r="P76" s="152"/>
      <c r="Q76" s="157"/>
      <c r="R76" s="152"/>
      <c r="S76" s="157"/>
      <c r="T76" s="152"/>
      <c r="U76" s="157"/>
      <c r="V76" s="151"/>
      <c r="W76" s="151"/>
      <c r="X76" s="155" t="str">
        <f t="shared" si="2"/>
        <v/>
      </c>
      <c r="Y76" s="152"/>
      <c r="Z76" s="158" t="str">
        <f>IF(ISERROR(VLOOKUP(Y76,'4 - SGs'!$A$4:$E$24,2)),"",VLOOKUP(Y76,'4 - SGs'!$A$4:$E$24,2))</f>
        <v/>
      </c>
      <c r="AA76" s="149"/>
      <c r="AB76" s="149"/>
      <c r="AC76" s="149"/>
      <c r="AD76" s="149"/>
      <c r="AE76" s="153"/>
    </row>
    <row r="77" spans="1:31" s="150" customFormat="1" ht="12">
      <c r="A77" s="157"/>
      <c r="B77" s="157"/>
      <c r="C77" s="151"/>
      <c r="D77" s="157"/>
      <c r="E77" s="157"/>
      <c r="F77" s="157"/>
      <c r="G77" s="157"/>
      <c r="H77" s="157"/>
      <c r="I77" s="157"/>
      <c r="J77" s="157"/>
      <c r="K77" s="154"/>
      <c r="L77" s="154"/>
      <c r="M77" s="151"/>
      <c r="N77" s="157"/>
      <c r="O77" s="157"/>
      <c r="P77" s="152"/>
      <c r="Q77" s="157"/>
      <c r="R77" s="152"/>
      <c r="S77" s="157"/>
      <c r="T77" s="152"/>
      <c r="U77" s="157"/>
      <c r="V77" s="151"/>
      <c r="W77" s="151"/>
      <c r="X77" s="155" t="str">
        <f t="shared" si="2"/>
        <v/>
      </c>
      <c r="Y77" s="152"/>
      <c r="Z77" s="158" t="str">
        <f>IF(ISERROR(VLOOKUP(Y77,'4 - SGs'!$A$4:$E$24,2)),"",VLOOKUP(Y77,'4 - SGs'!$A$4:$E$24,2))</f>
        <v/>
      </c>
      <c r="AA77" s="149"/>
      <c r="AB77" s="149"/>
      <c r="AC77" s="149"/>
      <c r="AD77" s="149"/>
      <c r="AE77" s="153"/>
    </row>
    <row r="78" spans="1:31" s="150" customFormat="1" ht="12">
      <c r="A78" s="157"/>
      <c r="B78" s="157"/>
      <c r="C78" s="151"/>
      <c r="D78" s="157"/>
      <c r="E78" s="157"/>
      <c r="F78" s="157"/>
      <c r="G78" s="157"/>
      <c r="H78" s="157"/>
      <c r="I78" s="157"/>
      <c r="J78" s="157"/>
      <c r="K78" s="154"/>
      <c r="L78" s="154"/>
      <c r="M78" s="151"/>
      <c r="N78" s="157"/>
      <c r="O78" s="157"/>
      <c r="P78" s="152"/>
      <c r="Q78" s="157"/>
      <c r="R78" s="152"/>
      <c r="S78" s="157"/>
      <c r="T78" s="152"/>
      <c r="U78" s="157"/>
      <c r="V78" s="151"/>
      <c r="W78" s="151"/>
      <c r="X78" s="155" t="str">
        <f t="shared" si="2"/>
        <v/>
      </c>
      <c r="Y78" s="152"/>
      <c r="Z78" s="158" t="str">
        <f>IF(ISERROR(VLOOKUP(Y78,'4 - SGs'!$A$4:$E$24,2)),"",VLOOKUP(Y78,'4 - SGs'!$A$4:$E$24,2))</f>
        <v/>
      </c>
      <c r="AA78" s="149"/>
      <c r="AB78" s="149"/>
      <c r="AC78" s="149"/>
      <c r="AD78" s="149"/>
      <c r="AE78" s="153"/>
    </row>
    <row r="79" spans="1:31" s="150" customFormat="1" ht="12">
      <c r="A79" s="157"/>
      <c r="B79" s="157"/>
      <c r="C79" s="151"/>
      <c r="D79" s="157"/>
      <c r="E79" s="157"/>
      <c r="F79" s="157"/>
      <c r="G79" s="157"/>
      <c r="H79" s="157"/>
      <c r="I79" s="157"/>
      <c r="J79" s="157"/>
      <c r="K79" s="154"/>
      <c r="L79" s="154"/>
      <c r="M79" s="151"/>
      <c r="N79" s="157"/>
      <c r="O79" s="157"/>
      <c r="P79" s="152"/>
      <c r="Q79" s="157"/>
      <c r="R79" s="152"/>
      <c r="S79" s="157"/>
      <c r="T79" s="152"/>
      <c r="U79" s="157"/>
      <c r="V79" s="151"/>
      <c r="W79" s="151"/>
      <c r="X79" s="155" t="str">
        <f t="shared" si="2"/>
        <v/>
      </c>
      <c r="Y79" s="152"/>
      <c r="Z79" s="158" t="str">
        <f>IF(ISERROR(VLOOKUP(Y79,'4 - SGs'!$A$4:$E$24,2)),"",VLOOKUP(Y79,'4 - SGs'!$A$4:$E$24,2))</f>
        <v/>
      </c>
      <c r="AA79" s="149"/>
      <c r="AB79" s="149"/>
      <c r="AC79" s="149"/>
      <c r="AD79" s="149"/>
      <c r="AE79" s="153"/>
    </row>
    <row r="80" spans="1:31" s="150" customFormat="1" ht="12">
      <c r="A80" s="157"/>
      <c r="B80" s="157"/>
      <c r="C80" s="151"/>
      <c r="D80" s="157"/>
      <c r="E80" s="157"/>
      <c r="F80" s="157"/>
      <c r="G80" s="157"/>
      <c r="H80" s="157"/>
      <c r="I80" s="157"/>
      <c r="J80" s="157"/>
      <c r="K80" s="154"/>
      <c r="L80" s="154"/>
      <c r="M80" s="151"/>
      <c r="N80" s="157"/>
      <c r="O80" s="157"/>
      <c r="P80" s="152"/>
      <c r="Q80" s="157"/>
      <c r="R80" s="152"/>
      <c r="S80" s="157"/>
      <c r="T80" s="152"/>
      <c r="U80" s="157"/>
      <c r="V80" s="151"/>
      <c r="W80" s="151"/>
      <c r="X80" s="155" t="str">
        <f t="shared" si="2"/>
        <v/>
      </c>
      <c r="Y80" s="152"/>
      <c r="Z80" s="158" t="str">
        <f>IF(ISERROR(VLOOKUP(Y80,'4 - SGs'!$A$4:$E$24,2)),"",VLOOKUP(Y80,'4 - SGs'!$A$4:$E$24,2))</f>
        <v/>
      </c>
      <c r="AA80" s="149"/>
      <c r="AB80" s="149"/>
      <c r="AC80" s="149"/>
      <c r="AD80" s="149"/>
      <c r="AE80" s="153"/>
    </row>
    <row r="81" spans="1:31" s="150" customFormat="1" ht="12">
      <c r="A81" s="157"/>
      <c r="B81" s="157"/>
      <c r="C81" s="151"/>
      <c r="D81" s="157"/>
      <c r="E81" s="157"/>
      <c r="F81" s="157"/>
      <c r="G81" s="157"/>
      <c r="H81" s="157"/>
      <c r="I81" s="157"/>
      <c r="J81" s="157"/>
      <c r="K81" s="154"/>
      <c r="L81" s="154"/>
      <c r="M81" s="151"/>
      <c r="N81" s="157"/>
      <c r="O81" s="157"/>
      <c r="P81" s="152"/>
      <c r="Q81" s="157"/>
      <c r="R81" s="152"/>
      <c r="S81" s="157"/>
      <c r="T81" s="152"/>
      <c r="U81" s="157"/>
      <c r="V81" s="151"/>
      <c r="W81" s="151"/>
      <c r="X81" s="155" t="str">
        <f t="shared" si="2"/>
        <v/>
      </c>
      <c r="Y81" s="152"/>
      <c r="Z81" s="158" t="str">
        <f>IF(ISERROR(VLOOKUP(Y81,'4 - SGs'!$A$4:$E$24,2)),"",VLOOKUP(Y81,'4 - SGs'!$A$4:$E$24,2))</f>
        <v/>
      </c>
      <c r="AA81" s="149"/>
      <c r="AB81" s="149"/>
      <c r="AC81" s="149"/>
      <c r="AD81" s="149"/>
      <c r="AE81" s="153"/>
    </row>
    <row r="82" spans="1:31" s="150" customFormat="1" ht="12">
      <c r="A82" s="157"/>
      <c r="B82" s="157"/>
      <c r="C82" s="151"/>
      <c r="D82" s="157"/>
      <c r="E82" s="157"/>
      <c r="F82" s="157"/>
      <c r="G82" s="157"/>
      <c r="H82" s="157"/>
      <c r="I82" s="157"/>
      <c r="J82" s="157"/>
      <c r="K82" s="154"/>
      <c r="L82" s="154"/>
      <c r="M82" s="151"/>
      <c r="N82" s="157"/>
      <c r="O82" s="157"/>
      <c r="P82" s="152"/>
      <c r="Q82" s="157"/>
      <c r="R82" s="152"/>
      <c r="S82" s="157"/>
      <c r="T82" s="152"/>
      <c r="U82" s="157"/>
      <c r="V82" s="151"/>
      <c r="W82" s="151"/>
      <c r="X82" s="155" t="str">
        <f t="shared" si="2"/>
        <v/>
      </c>
      <c r="Y82" s="152"/>
      <c r="Z82" s="158" t="str">
        <f>IF(ISERROR(VLOOKUP(Y82,'4 - SGs'!$A$4:$E$24,2)),"",VLOOKUP(Y82,'4 - SGs'!$A$4:$E$24,2))</f>
        <v/>
      </c>
      <c r="AA82" s="149"/>
      <c r="AB82" s="149"/>
      <c r="AC82" s="149"/>
      <c r="AD82" s="149"/>
      <c r="AE82" s="153"/>
    </row>
    <row r="83" spans="1:31" s="150" customFormat="1" ht="12">
      <c r="A83" s="157"/>
      <c r="B83" s="157"/>
      <c r="C83" s="151"/>
      <c r="D83" s="157"/>
      <c r="E83" s="157"/>
      <c r="F83" s="157"/>
      <c r="G83" s="157"/>
      <c r="H83" s="157"/>
      <c r="I83" s="157"/>
      <c r="J83" s="157"/>
      <c r="K83" s="154"/>
      <c r="L83" s="154"/>
      <c r="M83" s="151"/>
      <c r="N83" s="157"/>
      <c r="O83" s="157"/>
      <c r="P83" s="152"/>
      <c r="Q83" s="157"/>
      <c r="R83" s="152"/>
      <c r="S83" s="157"/>
      <c r="T83" s="152"/>
      <c r="U83" s="157"/>
      <c r="V83" s="151"/>
      <c r="W83" s="151"/>
      <c r="X83" s="155" t="str">
        <f t="shared" si="2"/>
        <v/>
      </c>
      <c r="Y83" s="152"/>
      <c r="Z83" s="158" t="str">
        <f>IF(ISERROR(VLOOKUP(Y83,'4 - SGs'!$A$4:$E$24,2)),"",VLOOKUP(Y83,'4 - SGs'!$A$4:$E$24,2))</f>
        <v/>
      </c>
      <c r="AA83" s="149"/>
      <c r="AB83" s="149"/>
      <c r="AC83" s="149"/>
      <c r="AD83" s="149"/>
      <c r="AE83" s="153"/>
    </row>
    <row r="84" spans="1:31" s="150" customFormat="1" ht="12">
      <c r="A84" s="157"/>
      <c r="B84" s="157"/>
      <c r="C84" s="151"/>
      <c r="D84" s="157"/>
      <c r="E84" s="157"/>
      <c r="F84" s="157"/>
      <c r="G84" s="157"/>
      <c r="H84" s="157"/>
      <c r="I84" s="157"/>
      <c r="J84" s="157"/>
      <c r="K84" s="154"/>
      <c r="L84" s="154"/>
      <c r="M84" s="151"/>
      <c r="N84" s="157"/>
      <c r="O84" s="157"/>
      <c r="P84" s="152"/>
      <c r="Q84" s="157"/>
      <c r="R84" s="152"/>
      <c r="S84" s="157"/>
      <c r="T84" s="152"/>
      <c r="U84" s="157"/>
      <c r="V84" s="151"/>
      <c r="W84" s="151"/>
      <c r="X84" s="155" t="str">
        <f t="shared" si="2"/>
        <v/>
      </c>
      <c r="Y84" s="152"/>
      <c r="Z84" s="158" t="str">
        <f>IF(ISERROR(VLOOKUP(Y84,'4 - SGs'!$A$4:$E$24,2)),"",VLOOKUP(Y84,'4 - SGs'!$A$4:$E$24,2))</f>
        <v/>
      </c>
      <c r="AA84" s="149"/>
      <c r="AB84" s="149"/>
      <c r="AC84" s="149"/>
      <c r="AD84" s="149"/>
      <c r="AE84" s="153"/>
    </row>
    <row r="85" spans="1:31" s="150" customFormat="1" ht="12">
      <c r="A85" s="157"/>
      <c r="B85" s="157"/>
      <c r="C85" s="151"/>
      <c r="D85" s="157"/>
      <c r="E85" s="157"/>
      <c r="F85" s="157"/>
      <c r="G85" s="157"/>
      <c r="H85" s="157"/>
      <c r="I85" s="157"/>
      <c r="J85" s="157"/>
      <c r="K85" s="154"/>
      <c r="L85" s="154"/>
      <c r="M85" s="151"/>
      <c r="N85" s="157"/>
      <c r="O85" s="157"/>
      <c r="P85" s="152"/>
      <c r="Q85" s="157"/>
      <c r="R85" s="152"/>
      <c r="S85" s="157"/>
      <c r="T85" s="152"/>
      <c r="U85" s="157"/>
      <c r="V85" s="151"/>
      <c r="W85" s="151"/>
      <c r="X85" s="155" t="str">
        <f t="shared" si="2"/>
        <v/>
      </c>
      <c r="Y85" s="152"/>
      <c r="Z85" s="158" t="str">
        <f>IF(ISERROR(VLOOKUP(Y85,'4 - SGs'!$A$4:$E$24,2)),"",VLOOKUP(Y85,'4 - SGs'!$A$4:$E$24,2))</f>
        <v/>
      </c>
      <c r="AA85" s="149"/>
      <c r="AB85" s="149"/>
      <c r="AC85" s="149"/>
      <c r="AD85" s="149"/>
      <c r="AE85" s="153"/>
    </row>
    <row r="86" spans="1:31" s="150" customFormat="1" ht="12">
      <c r="A86" s="157"/>
      <c r="B86" s="157"/>
      <c r="C86" s="151"/>
      <c r="D86" s="157"/>
      <c r="E86" s="157"/>
      <c r="F86" s="157"/>
      <c r="G86" s="157"/>
      <c r="H86" s="157"/>
      <c r="I86" s="157"/>
      <c r="J86" s="157"/>
      <c r="K86" s="154"/>
      <c r="L86" s="154"/>
      <c r="M86" s="151"/>
      <c r="N86" s="157"/>
      <c r="O86" s="157"/>
      <c r="P86" s="152"/>
      <c r="Q86" s="157"/>
      <c r="R86" s="152"/>
      <c r="S86" s="157"/>
      <c r="T86" s="152"/>
      <c r="U86" s="157"/>
      <c r="V86" s="151"/>
      <c r="W86" s="151"/>
      <c r="X86" s="155" t="str">
        <f t="shared" si="2"/>
        <v/>
      </c>
      <c r="Y86" s="152"/>
      <c r="Z86" s="158" t="str">
        <f>IF(ISERROR(VLOOKUP(Y86,'4 - SGs'!$A$4:$E$24,2)),"",VLOOKUP(Y86,'4 - SGs'!$A$4:$E$24,2))</f>
        <v/>
      </c>
      <c r="AA86" s="149"/>
      <c r="AB86" s="149"/>
      <c r="AC86" s="149"/>
      <c r="AD86" s="149"/>
      <c r="AE86" s="153"/>
    </row>
    <row r="87" spans="1:31" s="150" customFormat="1" ht="12">
      <c r="A87" s="157"/>
      <c r="B87" s="157"/>
      <c r="C87" s="151"/>
      <c r="D87" s="157"/>
      <c r="E87" s="157"/>
      <c r="F87" s="157"/>
      <c r="G87" s="157"/>
      <c r="H87" s="157"/>
      <c r="I87" s="157"/>
      <c r="J87" s="157"/>
      <c r="K87" s="154"/>
      <c r="L87" s="154"/>
      <c r="M87" s="151"/>
      <c r="N87" s="157"/>
      <c r="O87" s="157"/>
      <c r="P87" s="152"/>
      <c r="Q87" s="157"/>
      <c r="R87" s="152"/>
      <c r="S87" s="157"/>
      <c r="T87" s="152"/>
      <c r="U87" s="157"/>
      <c r="V87" s="151"/>
      <c r="W87" s="151"/>
      <c r="X87" s="155" t="str">
        <f t="shared" si="2"/>
        <v/>
      </c>
      <c r="Y87" s="152"/>
      <c r="Z87" s="158" t="str">
        <f>IF(ISERROR(VLOOKUP(Y87,'4 - SGs'!$A$4:$E$24,2)),"",VLOOKUP(Y87,'4 - SGs'!$A$4:$E$24,2))</f>
        <v/>
      </c>
      <c r="AA87" s="149"/>
      <c r="AB87" s="149"/>
      <c r="AC87" s="149"/>
      <c r="AD87" s="149"/>
      <c r="AE87" s="153"/>
    </row>
    <row r="88" spans="1:31" s="150" customFormat="1" ht="12">
      <c r="A88" s="157"/>
      <c r="B88" s="157"/>
      <c r="C88" s="151"/>
      <c r="D88" s="157"/>
      <c r="E88" s="157"/>
      <c r="F88" s="157"/>
      <c r="G88" s="157"/>
      <c r="H88" s="157"/>
      <c r="I88" s="157"/>
      <c r="J88" s="157"/>
      <c r="K88" s="154"/>
      <c r="L88" s="154"/>
      <c r="M88" s="151"/>
      <c r="N88" s="157"/>
      <c r="O88" s="157"/>
      <c r="P88" s="152"/>
      <c r="Q88" s="157"/>
      <c r="R88" s="152"/>
      <c r="S88" s="157"/>
      <c r="T88" s="152"/>
      <c r="U88" s="157"/>
      <c r="V88" s="151"/>
      <c r="W88" s="151"/>
      <c r="X88" s="155" t="str">
        <f t="shared" si="2"/>
        <v/>
      </c>
      <c r="Y88" s="152"/>
      <c r="Z88" s="158" t="str">
        <f>IF(ISERROR(VLOOKUP(Y88,'4 - SGs'!$A$4:$E$24,2)),"",VLOOKUP(Y88,'4 - SGs'!$A$4:$E$24,2))</f>
        <v/>
      </c>
      <c r="AA88" s="149"/>
      <c r="AB88" s="149"/>
      <c r="AC88" s="149"/>
      <c r="AD88" s="149"/>
      <c r="AE88" s="153"/>
    </row>
    <row r="89" spans="1:31" s="150" customFormat="1" ht="12">
      <c r="A89" s="157"/>
      <c r="B89" s="157"/>
      <c r="C89" s="151"/>
      <c r="D89" s="157"/>
      <c r="E89" s="157"/>
      <c r="F89" s="157"/>
      <c r="G89" s="157"/>
      <c r="H89" s="157"/>
      <c r="I89" s="157"/>
      <c r="J89" s="157"/>
      <c r="K89" s="154"/>
      <c r="L89" s="154"/>
      <c r="M89" s="151"/>
      <c r="N89" s="157"/>
      <c r="O89" s="157"/>
      <c r="P89" s="152"/>
      <c r="Q89" s="157"/>
      <c r="R89" s="152"/>
      <c r="S89" s="157"/>
      <c r="T89" s="152"/>
      <c r="U89" s="157"/>
      <c r="V89" s="151"/>
      <c r="W89" s="151"/>
      <c r="X89" s="155" t="str">
        <f t="shared" si="2"/>
        <v/>
      </c>
      <c r="Y89" s="152"/>
      <c r="Z89" s="158" t="str">
        <f>IF(ISERROR(VLOOKUP(Y89,'4 - SGs'!$A$4:$E$24,2)),"",VLOOKUP(Y89,'4 - SGs'!$A$4:$E$24,2))</f>
        <v/>
      </c>
      <c r="AA89" s="149"/>
      <c r="AB89" s="149"/>
      <c r="AC89" s="149"/>
      <c r="AD89" s="149"/>
      <c r="AE89" s="153"/>
    </row>
    <row r="90" spans="1:31" s="150" customFormat="1" ht="12">
      <c r="A90" s="157"/>
      <c r="B90" s="157"/>
      <c r="C90" s="151"/>
      <c r="D90" s="157"/>
      <c r="E90" s="157"/>
      <c r="F90" s="157"/>
      <c r="G90" s="157"/>
      <c r="H90" s="157"/>
      <c r="I90" s="157"/>
      <c r="J90" s="157"/>
      <c r="K90" s="154"/>
      <c r="L90" s="154"/>
      <c r="M90" s="151"/>
      <c r="N90" s="157"/>
      <c r="O90" s="157"/>
      <c r="P90" s="152"/>
      <c r="Q90" s="157"/>
      <c r="R90" s="152"/>
      <c r="S90" s="157"/>
      <c r="T90" s="152"/>
      <c r="U90" s="157"/>
      <c r="V90" s="151"/>
      <c r="W90" s="151"/>
      <c r="X90" s="155" t="str">
        <f t="shared" si="2"/>
        <v/>
      </c>
      <c r="Y90" s="152"/>
      <c r="Z90" s="158" t="str">
        <f>IF(ISERROR(VLOOKUP(Y90,'4 - SGs'!$A$4:$E$24,2)),"",VLOOKUP(Y90,'4 - SGs'!$A$4:$E$24,2))</f>
        <v/>
      </c>
      <c r="AA90" s="149"/>
      <c r="AB90" s="149"/>
      <c r="AC90" s="149"/>
      <c r="AD90" s="149"/>
      <c r="AE90" s="153"/>
    </row>
    <row r="91" spans="1:31" s="150" customFormat="1" ht="12">
      <c r="A91" s="157"/>
      <c r="B91" s="157"/>
      <c r="C91" s="151"/>
      <c r="D91" s="157"/>
      <c r="E91" s="157"/>
      <c r="F91" s="157"/>
      <c r="G91" s="157"/>
      <c r="H91" s="157"/>
      <c r="I91" s="157"/>
      <c r="J91" s="157"/>
      <c r="K91" s="154"/>
      <c r="L91" s="154"/>
      <c r="M91" s="151"/>
      <c r="N91" s="157"/>
      <c r="O91" s="157"/>
      <c r="P91" s="152"/>
      <c r="Q91" s="157"/>
      <c r="R91" s="152"/>
      <c r="S91" s="157"/>
      <c r="T91" s="152"/>
      <c r="U91" s="157"/>
      <c r="V91" s="151"/>
      <c r="W91" s="151"/>
      <c r="X91" s="155" t="str">
        <f t="shared" si="2"/>
        <v/>
      </c>
      <c r="Y91" s="152"/>
      <c r="Z91" s="158" t="str">
        <f>IF(ISERROR(VLOOKUP(Y91,'4 - SGs'!$A$4:$E$24,2)),"",VLOOKUP(Y91,'4 - SGs'!$A$4:$E$24,2))</f>
        <v/>
      </c>
      <c r="AA91" s="149"/>
      <c r="AB91" s="149"/>
      <c r="AC91" s="149"/>
      <c r="AD91" s="149"/>
      <c r="AE91" s="153"/>
    </row>
    <row r="92" spans="1:31" s="150" customFormat="1" ht="12">
      <c r="A92" s="157"/>
      <c r="B92" s="157"/>
      <c r="C92" s="151"/>
      <c r="D92" s="157"/>
      <c r="E92" s="157"/>
      <c r="F92" s="157"/>
      <c r="G92" s="157"/>
      <c r="H92" s="157"/>
      <c r="I92" s="157"/>
      <c r="J92" s="157"/>
      <c r="K92" s="154"/>
      <c r="L92" s="154"/>
      <c r="M92" s="151"/>
      <c r="N92" s="157"/>
      <c r="O92" s="157"/>
      <c r="P92" s="152"/>
      <c r="Q92" s="157"/>
      <c r="R92" s="152"/>
      <c r="S92" s="157"/>
      <c r="T92" s="152"/>
      <c r="U92" s="157"/>
      <c r="V92" s="151"/>
      <c r="W92" s="151"/>
      <c r="X92" s="155" t="str">
        <f t="shared" si="2"/>
        <v/>
      </c>
      <c r="Y92" s="152"/>
      <c r="Z92" s="158" t="str">
        <f>IF(ISERROR(VLOOKUP(Y92,'4 - SGs'!$A$4:$E$24,2)),"",VLOOKUP(Y92,'4 - SGs'!$A$4:$E$24,2))</f>
        <v/>
      </c>
      <c r="AA92" s="149"/>
      <c r="AB92" s="149"/>
      <c r="AC92" s="149"/>
      <c r="AD92" s="149"/>
      <c r="AE92" s="153"/>
    </row>
    <row r="93" spans="1:31" s="150" customFormat="1" ht="12">
      <c r="A93" s="157"/>
      <c r="B93" s="157"/>
      <c r="C93" s="151"/>
      <c r="D93" s="157"/>
      <c r="E93" s="157"/>
      <c r="F93" s="157"/>
      <c r="G93" s="157"/>
      <c r="H93" s="157"/>
      <c r="I93" s="157"/>
      <c r="J93" s="157"/>
      <c r="K93" s="154"/>
      <c r="L93" s="154"/>
      <c r="M93" s="151"/>
      <c r="N93" s="157"/>
      <c r="O93" s="157"/>
      <c r="P93" s="152"/>
      <c r="Q93" s="157"/>
      <c r="R93" s="152"/>
      <c r="S93" s="157"/>
      <c r="T93" s="152"/>
      <c r="U93" s="157"/>
      <c r="V93" s="151"/>
      <c r="W93" s="151"/>
      <c r="X93" s="155" t="str">
        <f t="shared" si="2"/>
        <v/>
      </c>
      <c r="Y93" s="152"/>
      <c r="Z93" s="158" t="str">
        <f>IF(ISERROR(VLOOKUP(Y93,'4 - SGs'!$A$4:$E$24,2)),"",VLOOKUP(Y93,'4 - SGs'!$A$4:$E$24,2))</f>
        <v/>
      </c>
      <c r="AA93" s="149"/>
      <c r="AB93" s="149"/>
      <c r="AC93" s="149"/>
      <c r="AD93" s="149"/>
      <c r="AE93" s="153"/>
    </row>
    <row r="94" spans="1:31" s="150" customFormat="1" ht="12">
      <c r="A94" s="157"/>
      <c r="B94" s="157"/>
      <c r="C94" s="151"/>
      <c r="D94" s="157"/>
      <c r="E94" s="157"/>
      <c r="F94" s="157"/>
      <c r="G94" s="157"/>
      <c r="H94" s="157"/>
      <c r="I94" s="157"/>
      <c r="J94" s="157"/>
      <c r="K94" s="154"/>
      <c r="L94" s="154"/>
      <c r="M94" s="151"/>
      <c r="N94" s="157"/>
      <c r="O94" s="157"/>
      <c r="P94" s="152"/>
      <c r="Q94" s="157"/>
      <c r="R94" s="152"/>
      <c r="S94" s="157"/>
      <c r="T94" s="152"/>
      <c r="U94" s="157"/>
      <c r="V94" s="151"/>
      <c r="W94" s="151"/>
      <c r="X94" s="155" t="str">
        <f t="shared" si="2"/>
        <v/>
      </c>
      <c r="Y94" s="152"/>
      <c r="Z94" s="158" t="str">
        <f>IF(ISERROR(VLOOKUP(Y94,'4 - SGs'!$A$4:$E$24,2)),"",VLOOKUP(Y94,'4 - SGs'!$A$4:$E$24,2))</f>
        <v/>
      </c>
      <c r="AA94" s="149"/>
      <c r="AB94" s="149"/>
      <c r="AC94" s="149"/>
      <c r="AD94" s="149"/>
      <c r="AE94" s="153"/>
    </row>
    <row r="95" spans="1:31" s="150" customFormat="1" ht="12">
      <c r="A95" s="157"/>
      <c r="B95" s="157"/>
      <c r="C95" s="151"/>
      <c r="D95" s="157"/>
      <c r="E95" s="157"/>
      <c r="F95" s="157"/>
      <c r="G95" s="157"/>
      <c r="H95" s="157"/>
      <c r="I95" s="157"/>
      <c r="J95" s="157"/>
      <c r="K95" s="154"/>
      <c r="L95" s="154"/>
      <c r="M95" s="151"/>
      <c r="N95" s="157"/>
      <c r="O95" s="157"/>
      <c r="P95" s="152"/>
      <c r="Q95" s="157"/>
      <c r="R95" s="152"/>
      <c r="S95" s="157"/>
      <c r="T95" s="152"/>
      <c r="U95" s="157"/>
      <c r="V95" s="151"/>
      <c r="W95" s="151"/>
      <c r="X95" s="155" t="str">
        <f t="shared" si="2"/>
        <v/>
      </c>
      <c r="Y95" s="152"/>
      <c r="Z95" s="158" t="str">
        <f>IF(ISERROR(VLOOKUP(Y95,'4 - SGs'!$A$4:$E$24,2)),"",VLOOKUP(Y95,'4 - SGs'!$A$4:$E$24,2))</f>
        <v/>
      </c>
      <c r="AA95" s="149"/>
      <c r="AB95" s="149"/>
      <c r="AC95" s="149"/>
      <c r="AD95" s="149"/>
      <c r="AE95" s="153"/>
    </row>
    <row r="96" spans="1:31" s="150" customFormat="1" ht="12">
      <c r="A96" s="157"/>
      <c r="B96" s="157"/>
      <c r="C96" s="151"/>
      <c r="D96" s="157"/>
      <c r="E96" s="157"/>
      <c r="F96" s="157"/>
      <c r="G96" s="157"/>
      <c r="H96" s="157"/>
      <c r="I96" s="157"/>
      <c r="J96" s="157"/>
      <c r="K96" s="154"/>
      <c r="L96" s="154"/>
      <c r="M96" s="151"/>
      <c r="N96" s="157"/>
      <c r="O96" s="157"/>
      <c r="P96" s="152"/>
      <c r="Q96" s="157"/>
      <c r="R96" s="152"/>
      <c r="S96" s="157"/>
      <c r="T96" s="152"/>
      <c r="U96" s="157"/>
      <c r="V96" s="151"/>
      <c r="W96" s="151"/>
      <c r="X96" s="155" t="str">
        <f t="shared" si="2"/>
        <v/>
      </c>
      <c r="Y96" s="152"/>
      <c r="Z96" s="158" t="str">
        <f>IF(ISERROR(VLOOKUP(Y96,'4 - SGs'!$A$4:$E$24,2)),"",VLOOKUP(Y96,'4 - SGs'!$A$4:$E$24,2))</f>
        <v/>
      </c>
      <c r="AA96" s="149"/>
      <c r="AB96" s="149"/>
      <c r="AC96" s="149"/>
      <c r="AD96" s="149"/>
      <c r="AE96" s="153"/>
    </row>
    <row r="97" spans="1:31" s="150" customFormat="1" ht="12">
      <c r="A97" s="157"/>
      <c r="B97" s="157"/>
      <c r="C97" s="151"/>
      <c r="D97" s="157"/>
      <c r="E97" s="157"/>
      <c r="F97" s="157"/>
      <c r="G97" s="157"/>
      <c r="H97" s="157"/>
      <c r="I97" s="157"/>
      <c r="J97" s="157"/>
      <c r="K97" s="154"/>
      <c r="L97" s="154"/>
      <c r="M97" s="151"/>
      <c r="N97" s="157"/>
      <c r="O97" s="157"/>
      <c r="P97" s="152"/>
      <c r="Q97" s="157"/>
      <c r="R97" s="152"/>
      <c r="S97" s="157"/>
      <c r="T97" s="152"/>
      <c r="U97" s="157"/>
      <c r="V97" s="151"/>
      <c r="W97" s="151"/>
      <c r="X97" s="155" t="str">
        <f t="shared" si="2"/>
        <v/>
      </c>
      <c r="Y97" s="152"/>
      <c r="Z97" s="158" t="str">
        <f>IF(ISERROR(VLOOKUP(Y97,'4 - SGs'!$A$4:$E$24,2)),"",VLOOKUP(Y97,'4 - SGs'!$A$4:$E$24,2))</f>
        <v/>
      </c>
      <c r="AA97" s="149"/>
      <c r="AB97" s="149"/>
      <c r="AC97" s="149"/>
      <c r="AD97" s="149"/>
      <c r="AE97" s="153"/>
    </row>
    <row r="98" spans="1:31" s="150" customFormat="1" ht="12">
      <c r="A98" s="157"/>
      <c r="B98" s="157"/>
      <c r="C98" s="151"/>
      <c r="D98" s="157"/>
      <c r="E98" s="157"/>
      <c r="F98" s="157"/>
      <c r="G98" s="157"/>
      <c r="H98" s="157"/>
      <c r="I98" s="157"/>
      <c r="J98" s="157"/>
      <c r="K98" s="154"/>
      <c r="L98" s="154"/>
      <c r="M98" s="151"/>
      <c r="N98" s="157"/>
      <c r="O98" s="157"/>
      <c r="P98" s="152"/>
      <c r="Q98" s="157"/>
      <c r="R98" s="152"/>
      <c r="S98" s="157"/>
      <c r="T98" s="152"/>
      <c r="U98" s="157"/>
      <c r="V98" s="151"/>
      <c r="W98" s="151"/>
      <c r="X98" s="155" t="str">
        <f t="shared" si="2"/>
        <v/>
      </c>
      <c r="Y98" s="152"/>
      <c r="Z98" s="158" t="str">
        <f>IF(ISERROR(VLOOKUP(Y98,'4 - SGs'!$A$4:$E$24,2)),"",VLOOKUP(Y98,'4 - SGs'!$A$4:$E$24,2))</f>
        <v/>
      </c>
      <c r="AA98" s="149"/>
      <c r="AB98" s="149"/>
      <c r="AC98" s="149"/>
      <c r="AD98" s="149"/>
      <c r="AE98" s="153"/>
    </row>
    <row r="99" spans="1:31" s="150" customFormat="1" ht="12">
      <c r="A99" s="157"/>
      <c r="B99" s="157"/>
      <c r="C99" s="151"/>
      <c r="D99" s="157"/>
      <c r="E99" s="157"/>
      <c r="F99" s="157"/>
      <c r="G99" s="157"/>
      <c r="H99" s="157"/>
      <c r="I99" s="157"/>
      <c r="J99" s="157"/>
      <c r="K99" s="154"/>
      <c r="L99" s="154"/>
      <c r="M99" s="151"/>
      <c r="N99" s="157"/>
      <c r="O99" s="157"/>
      <c r="P99" s="152"/>
      <c r="Q99" s="157"/>
      <c r="R99" s="152"/>
      <c r="S99" s="157"/>
      <c r="T99" s="152"/>
      <c r="U99" s="157"/>
      <c r="V99" s="151"/>
      <c r="W99" s="151"/>
      <c r="X99" s="155" t="str">
        <f t="shared" si="2"/>
        <v/>
      </c>
      <c r="Y99" s="152"/>
      <c r="Z99" s="158" t="str">
        <f>IF(ISERROR(VLOOKUP(Y99,'4 - SGs'!$A$4:$E$24,2)),"",VLOOKUP(Y99,'4 - SGs'!$A$4:$E$24,2))</f>
        <v/>
      </c>
      <c r="AA99" s="149"/>
      <c r="AB99" s="149"/>
      <c r="AC99" s="149"/>
      <c r="AD99" s="149"/>
      <c r="AE99" s="153"/>
    </row>
    <row r="100" spans="1:31" s="150" customFormat="1" ht="12">
      <c r="A100" s="157"/>
      <c r="B100" s="157"/>
      <c r="C100" s="151"/>
      <c r="D100" s="157"/>
      <c r="E100" s="157"/>
      <c r="F100" s="157"/>
      <c r="G100" s="157"/>
      <c r="H100" s="157"/>
      <c r="I100" s="157"/>
      <c r="J100" s="157"/>
      <c r="K100" s="154"/>
      <c r="L100" s="154"/>
      <c r="M100" s="151"/>
      <c r="N100" s="157"/>
      <c r="O100" s="157"/>
      <c r="P100" s="152"/>
      <c r="Q100" s="157"/>
      <c r="R100" s="152"/>
      <c r="S100" s="157"/>
      <c r="T100" s="152"/>
      <c r="U100" s="157"/>
      <c r="V100" s="151"/>
      <c r="W100" s="151"/>
      <c r="X100" s="155" t="str">
        <f t="shared" si="2"/>
        <v/>
      </c>
      <c r="Y100" s="152"/>
      <c r="Z100" s="158" t="str">
        <f>IF(ISERROR(VLOOKUP(Y100,'4 - SGs'!$A$4:$E$24,2)),"",VLOOKUP(Y100,'4 - SGs'!$A$4:$E$24,2))</f>
        <v/>
      </c>
      <c r="AA100" s="149"/>
      <c r="AB100" s="149"/>
      <c r="AC100" s="149"/>
      <c r="AD100" s="149"/>
      <c r="AE100" s="153"/>
    </row>
    <row r="101" spans="1:31" s="150" customFormat="1" ht="12">
      <c r="A101" s="157"/>
      <c r="B101" s="157"/>
      <c r="C101" s="151"/>
      <c r="D101" s="157"/>
      <c r="E101" s="157"/>
      <c r="F101" s="157"/>
      <c r="G101" s="157"/>
      <c r="H101" s="157"/>
      <c r="I101" s="157"/>
      <c r="J101" s="157"/>
      <c r="K101" s="154"/>
      <c r="L101" s="154"/>
      <c r="M101" s="151"/>
      <c r="N101" s="157"/>
      <c r="O101" s="157"/>
      <c r="P101" s="152"/>
      <c r="Q101" s="157"/>
      <c r="R101" s="152"/>
      <c r="S101" s="157"/>
      <c r="T101" s="152"/>
      <c r="U101" s="157"/>
      <c r="V101" s="151"/>
      <c r="W101" s="151"/>
      <c r="X101" s="155" t="str">
        <f t="shared" si="2"/>
        <v/>
      </c>
      <c r="Y101" s="152"/>
      <c r="Z101" s="158" t="str">
        <f>IF(ISERROR(VLOOKUP(Y101,'4 - SGs'!$A$4:$E$24,2)),"",VLOOKUP(Y101,'4 - SGs'!$A$4:$E$24,2))</f>
        <v/>
      </c>
      <c r="AA101" s="149"/>
      <c r="AB101" s="149"/>
      <c r="AC101" s="149"/>
      <c r="AD101" s="149"/>
      <c r="AE101" s="153"/>
    </row>
    <row r="102" spans="1:31" s="150" customFormat="1" ht="12">
      <c r="A102" s="157"/>
      <c r="B102" s="157"/>
      <c r="C102" s="151"/>
      <c r="D102" s="157"/>
      <c r="E102" s="157"/>
      <c r="F102" s="157"/>
      <c r="G102" s="157"/>
      <c r="H102" s="157"/>
      <c r="I102" s="157"/>
      <c r="J102" s="157"/>
      <c r="K102" s="154"/>
      <c r="L102" s="154"/>
      <c r="M102" s="151"/>
      <c r="N102" s="157"/>
      <c r="O102" s="157"/>
      <c r="P102" s="152"/>
      <c r="Q102" s="157"/>
      <c r="R102" s="152"/>
      <c r="S102" s="157"/>
      <c r="T102" s="152"/>
      <c r="U102" s="157"/>
      <c r="V102" s="151"/>
      <c r="W102" s="151"/>
      <c r="X102" s="155" t="str">
        <f t="shared" si="2"/>
        <v/>
      </c>
      <c r="Y102" s="152"/>
      <c r="Z102" s="158" t="str">
        <f>IF(ISERROR(VLOOKUP(Y102,'4 - SGs'!$A$4:$E$24,2)),"",VLOOKUP(Y102,'4 - SGs'!$A$4:$E$24,2))</f>
        <v/>
      </c>
      <c r="AA102" s="149"/>
      <c r="AB102" s="149"/>
      <c r="AC102" s="149"/>
      <c r="AD102" s="149"/>
      <c r="AE102" s="153"/>
    </row>
    <row r="103" spans="1:31" s="150" customFormat="1" ht="12">
      <c r="A103" s="157"/>
      <c r="B103" s="157"/>
      <c r="C103" s="151"/>
      <c r="D103" s="157"/>
      <c r="E103" s="157"/>
      <c r="F103" s="157"/>
      <c r="G103" s="157"/>
      <c r="H103" s="157"/>
      <c r="I103" s="157"/>
      <c r="J103" s="157"/>
      <c r="K103" s="154"/>
      <c r="L103" s="154"/>
      <c r="M103" s="151"/>
      <c r="N103" s="157"/>
      <c r="O103" s="157"/>
      <c r="P103" s="152"/>
      <c r="Q103" s="157"/>
      <c r="R103" s="152"/>
      <c r="S103" s="157"/>
      <c r="T103" s="152"/>
      <c r="U103" s="157"/>
      <c r="V103" s="151"/>
      <c r="W103" s="151"/>
      <c r="X103" s="155" t="str">
        <f t="shared" si="2"/>
        <v/>
      </c>
      <c r="Y103" s="152"/>
      <c r="Z103" s="158" t="str">
        <f>IF(ISERROR(VLOOKUP(Y103,'4 - SGs'!$A$4:$E$24,2)),"",VLOOKUP(Y103,'4 - SGs'!$A$4:$E$24,2))</f>
        <v/>
      </c>
      <c r="AA103" s="149"/>
      <c r="AB103" s="149"/>
      <c r="AC103" s="149"/>
      <c r="AD103" s="149"/>
      <c r="AE103" s="153"/>
    </row>
    <row r="104" spans="1:31" s="150" customFormat="1" ht="12">
      <c r="A104" s="157"/>
      <c r="B104" s="157"/>
      <c r="C104" s="151"/>
      <c r="D104" s="157"/>
      <c r="E104" s="157"/>
      <c r="F104" s="157"/>
      <c r="G104" s="157"/>
      <c r="H104" s="157"/>
      <c r="I104" s="157"/>
      <c r="J104" s="157"/>
      <c r="K104" s="154"/>
      <c r="L104" s="154"/>
      <c r="M104" s="151"/>
      <c r="N104" s="157"/>
      <c r="O104" s="157"/>
      <c r="P104" s="152"/>
      <c r="Q104" s="157"/>
      <c r="R104" s="152"/>
      <c r="S104" s="157"/>
      <c r="T104" s="152"/>
      <c r="U104" s="157"/>
      <c r="V104" s="151"/>
      <c r="W104" s="151"/>
      <c r="X104" s="155" t="str">
        <f t="shared" si="2"/>
        <v/>
      </c>
      <c r="Y104" s="152"/>
      <c r="Z104" s="158" t="str">
        <f>IF(ISERROR(VLOOKUP(Y104,'4 - SGs'!$A$4:$E$24,2)),"",VLOOKUP(Y104,'4 - SGs'!$A$4:$E$24,2))</f>
        <v/>
      </c>
      <c r="AA104" s="149"/>
      <c r="AB104" s="149"/>
      <c r="AC104" s="149"/>
      <c r="AD104" s="149"/>
      <c r="AE104" s="153"/>
    </row>
    <row r="105" spans="1:31" s="150" customFormat="1" ht="12">
      <c r="A105" s="157"/>
      <c r="B105" s="157"/>
      <c r="C105" s="151"/>
      <c r="D105" s="157"/>
      <c r="E105" s="157"/>
      <c r="F105" s="157"/>
      <c r="G105" s="157"/>
      <c r="H105" s="157"/>
      <c r="I105" s="157"/>
      <c r="J105" s="157"/>
      <c r="K105" s="154"/>
      <c r="L105" s="154"/>
      <c r="M105" s="151"/>
      <c r="N105" s="157"/>
      <c r="O105" s="157"/>
      <c r="P105" s="152"/>
      <c r="Q105" s="157"/>
      <c r="R105" s="152"/>
      <c r="S105" s="157"/>
      <c r="T105" s="152"/>
      <c r="U105" s="157"/>
      <c r="V105" s="151"/>
      <c r="W105" s="151"/>
      <c r="X105" s="155" t="str">
        <f t="shared" si="2"/>
        <v/>
      </c>
      <c r="Y105" s="152"/>
      <c r="Z105" s="158" t="str">
        <f>IF(ISERROR(VLOOKUP(Y105,'4 - SGs'!$A$4:$E$24,2)),"",VLOOKUP(Y105,'4 - SGs'!$A$4:$E$24,2))</f>
        <v/>
      </c>
      <c r="AA105" s="149"/>
      <c r="AB105" s="149"/>
      <c r="AC105" s="149"/>
      <c r="AD105" s="149"/>
      <c r="AE105" s="153"/>
    </row>
    <row r="106" spans="1:31" s="150" customFormat="1" ht="12">
      <c r="A106" s="157"/>
      <c r="B106" s="157"/>
      <c r="C106" s="151"/>
      <c r="D106" s="157"/>
      <c r="E106" s="157"/>
      <c r="F106" s="157"/>
      <c r="G106" s="157"/>
      <c r="H106" s="157"/>
      <c r="I106" s="157"/>
      <c r="J106" s="157"/>
      <c r="K106" s="154"/>
      <c r="L106" s="154"/>
      <c r="M106" s="151"/>
      <c r="N106" s="157"/>
      <c r="O106" s="157"/>
      <c r="P106" s="152"/>
      <c r="Q106" s="157"/>
      <c r="R106" s="152"/>
      <c r="S106" s="157"/>
      <c r="T106" s="152"/>
      <c r="U106" s="157"/>
      <c r="V106" s="151"/>
      <c r="W106" s="151"/>
      <c r="X106" s="155" t="str">
        <f t="shared" si="2"/>
        <v/>
      </c>
      <c r="Y106" s="152"/>
      <c r="Z106" s="158" t="str">
        <f>IF(ISERROR(VLOOKUP(Y106,'4 - SGs'!$A$4:$E$24,2)),"",VLOOKUP(Y106,'4 - SGs'!$A$4:$E$24,2))</f>
        <v/>
      </c>
      <c r="AA106" s="149"/>
      <c r="AB106" s="149"/>
      <c r="AC106" s="149"/>
      <c r="AD106" s="149"/>
      <c r="AE106" s="153"/>
    </row>
    <row r="107" spans="1:31" s="150" customFormat="1" ht="12">
      <c r="A107" s="157"/>
      <c r="B107" s="157"/>
      <c r="C107" s="151"/>
      <c r="D107" s="157"/>
      <c r="E107" s="157"/>
      <c r="F107" s="157"/>
      <c r="G107" s="157"/>
      <c r="H107" s="157"/>
      <c r="I107" s="157"/>
      <c r="J107" s="157"/>
      <c r="K107" s="154"/>
      <c r="L107" s="154"/>
      <c r="M107" s="151"/>
      <c r="N107" s="157"/>
      <c r="O107" s="157"/>
      <c r="P107" s="152"/>
      <c r="Q107" s="157"/>
      <c r="R107" s="152"/>
      <c r="S107" s="157"/>
      <c r="T107" s="152"/>
      <c r="U107" s="157"/>
      <c r="V107" s="151"/>
      <c r="W107" s="151"/>
      <c r="X107" s="155" t="str">
        <f t="shared" si="2"/>
        <v/>
      </c>
      <c r="Y107" s="152"/>
      <c r="Z107" s="158" t="str">
        <f>IF(ISERROR(VLOOKUP(Y107,'4 - SGs'!$A$4:$E$24,2)),"",VLOOKUP(Y107,'4 - SGs'!$A$4:$E$24,2))</f>
        <v/>
      </c>
      <c r="AA107" s="149"/>
      <c r="AB107" s="149"/>
      <c r="AC107" s="149"/>
      <c r="AD107" s="149"/>
      <c r="AE107" s="153"/>
    </row>
    <row r="108" spans="1:31" s="150" customFormat="1" ht="12">
      <c r="A108" s="157"/>
      <c r="B108" s="157"/>
      <c r="C108" s="151"/>
      <c r="D108" s="157"/>
      <c r="E108" s="157"/>
      <c r="F108" s="157"/>
      <c r="G108" s="157"/>
      <c r="H108" s="157"/>
      <c r="I108" s="157"/>
      <c r="J108" s="157"/>
      <c r="K108" s="154"/>
      <c r="L108" s="154"/>
      <c r="M108" s="151"/>
      <c r="N108" s="157"/>
      <c r="O108" s="157"/>
      <c r="P108" s="152"/>
      <c r="Q108" s="157"/>
      <c r="R108" s="152"/>
      <c r="S108" s="157"/>
      <c r="T108" s="152"/>
      <c r="U108" s="157"/>
      <c r="V108" s="151"/>
      <c r="W108" s="151"/>
      <c r="X108" s="155" t="str">
        <f t="shared" si="2"/>
        <v/>
      </c>
      <c r="Y108" s="152"/>
      <c r="Z108" s="158" t="str">
        <f>IF(ISERROR(VLOOKUP(Y108,'4 - SGs'!$A$4:$E$24,2)),"",VLOOKUP(Y108,'4 - SGs'!$A$4:$E$24,2))</f>
        <v/>
      </c>
      <c r="AA108" s="149"/>
      <c r="AB108" s="149"/>
      <c r="AC108" s="149"/>
      <c r="AD108" s="149"/>
      <c r="AE108" s="153"/>
    </row>
    <row r="109" spans="1:31" s="150" customFormat="1" ht="12">
      <c r="A109" s="157"/>
      <c r="B109" s="157"/>
      <c r="C109" s="151"/>
      <c r="D109" s="157"/>
      <c r="E109" s="157"/>
      <c r="F109" s="157"/>
      <c r="G109" s="157"/>
      <c r="H109" s="157"/>
      <c r="I109" s="157"/>
      <c r="J109" s="157"/>
      <c r="K109" s="154"/>
      <c r="L109" s="154"/>
      <c r="M109" s="151"/>
      <c r="N109" s="157"/>
      <c r="O109" s="157"/>
      <c r="P109" s="152"/>
      <c r="Q109" s="157"/>
      <c r="R109" s="152"/>
      <c r="S109" s="157"/>
      <c r="T109" s="152"/>
      <c r="U109" s="157"/>
      <c r="V109" s="151"/>
      <c r="W109" s="151"/>
      <c r="X109" s="155" t="str">
        <f t="shared" si="2"/>
        <v/>
      </c>
      <c r="Y109" s="152"/>
      <c r="Z109" s="158" t="str">
        <f>IF(ISERROR(VLOOKUP(Y109,'4 - SGs'!$A$4:$E$24,2)),"",VLOOKUP(Y109,'4 - SGs'!$A$4:$E$24,2))</f>
        <v/>
      </c>
      <c r="AA109" s="149"/>
      <c r="AB109" s="149"/>
      <c r="AC109" s="149"/>
      <c r="AD109" s="149"/>
      <c r="AE109" s="153"/>
    </row>
    <row r="110" spans="1:31" s="150" customFormat="1" ht="12">
      <c r="A110" s="157"/>
      <c r="B110" s="157"/>
      <c r="C110" s="151"/>
      <c r="D110" s="157"/>
      <c r="E110" s="157"/>
      <c r="F110" s="157"/>
      <c r="G110" s="157"/>
      <c r="H110" s="157"/>
      <c r="I110" s="157"/>
      <c r="J110" s="157"/>
      <c r="K110" s="154"/>
      <c r="L110" s="154"/>
      <c r="M110" s="151"/>
      <c r="N110" s="157"/>
      <c r="O110" s="157"/>
      <c r="P110" s="152"/>
      <c r="Q110" s="157"/>
      <c r="R110" s="152"/>
      <c r="S110" s="157"/>
      <c r="T110" s="152"/>
      <c r="U110" s="157"/>
      <c r="V110" s="151"/>
      <c r="W110" s="151"/>
      <c r="X110" s="155" t="str">
        <f t="shared" si="2"/>
        <v/>
      </c>
      <c r="Y110" s="152"/>
      <c r="Z110" s="158" t="str">
        <f>IF(ISERROR(VLOOKUP(Y110,'4 - SGs'!$A$4:$E$24,2)),"",VLOOKUP(Y110,'4 - SGs'!$A$4:$E$24,2))</f>
        <v/>
      </c>
      <c r="AA110" s="149"/>
      <c r="AB110" s="149"/>
      <c r="AC110" s="149"/>
      <c r="AD110" s="149"/>
      <c r="AE110" s="153"/>
    </row>
    <row r="111" spans="1:31" s="150" customFormat="1" ht="12">
      <c r="A111" s="157"/>
      <c r="B111" s="157"/>
      <c r="C111" s="151"/>
      <c r="D111" s="157"/>
      <c r="E111" s="157"/>
      <c r="F111" s="157"/>
      <c r="G111" s="157"/>
      <c r="H111" s="157"/>
      <c r="I111" s="157"/>
      <c r="J111" s="157"/>
      <c r="K111" s="154"/>
      <c r="L111" s="154"/>
      <c r="M111" s="151"/>
      <c r="N111" s="157"/>
      <c r="O111" s="157"/>
      <c r="P111" s="152"/>
      <c r="Q111" s="157"/>
      <c r="R111" s="152"/>
      <c r="S111" s="157"/>
      <c r="T111" s="152"/>
      <c r="U111" s="157"/>
      <c r="V111" s="151"/>
      <c r="W111" s="151"/>
      <c r="X111" s="155" t="str">
        <f t="shared" si="2"/>
        <v/>
      </c>
      <c r="Y111" s="152"/>
      <c r="Z111" s="158" t="str">
        <f>IF(ISERROR(VLOOKUP(Y111,'4 - SGs'!$A$4:$E$24,2)),"",VLOOKUP(Y111,'4 - SGs'!$A$4:$E$24,2))</f>
        <v/>
      </c>
      <c r="AA111" s="149"/>
      <c r="AB111" s="149"/>
      <c r="AC111" s="149"/>
      <c r="AD111" s="149"/>
      <c r="AE111" s="153"/>
    </row>
    <row r="112" spans="1:31" s="150" customFormat="1" ht="12">
      <c r="A112" s="157"/>
      <c r="B112" s="157"/>
      <c r="C112" s="151"/>
      <c r="D112" s="157"/>
      <c r="E112" s="157"/>
      <c r="F112" s="157"/>
      <c r="G112" s="157"/>
      <c r="H112" s="157"/>
      <c r="I112" s="157"/>
      <c r="J112" s="157"/>
      <c r="K112" s="154"/>
      <c r="L112" s="154"/>
      <c r="M112" s="151"/>
      <c r="N112" s="157"/>
      <c r="O112" s="157"/>
      <c r="P112" s="152"/>
      <c r="Q112" s="157"/>
      <c r="R112" s="152"/>
      <c r="S112" s="157"/>
      <c r="T112" s="152"/>
      <c r="U112" s="157"/>
      <c r="V112" s="151"/>
      <c r="W112" s="151"/>
      <c r="X112" s="155" t="str">
        <f t="shared" si="2"/>
        <v/>
      </c>
      <c r="Y112" s="152"/>
      <c r="Z112" s="158" t="str">
        <f>IF(ISERROR(VLOOKUP(Y112,'4 - SGs'!$A$4:$E$24,2)),"",VLOOKUP(Y112,'4 - SGs'!$A$4:$E$24,2))</f>
        <v/>
      </c>
      <c r="AA112" s="149"/>
      <c r="AB112" s="149"/>
      <c r="AC112" s="149"/>
      <c r="AD112" s="149"/>
      <c r="AE112" s="153"/>
    </row>
    <row r="113" spans="1:31" s="150" customFormat="1" ht="12">
      <c r="A113" s="157"/>
      <c r="B113" s="157"/>
      <c r="C113" s="151"/>
      <c r="D113" s="157"/>
      <c r="E113" s="157"/>
      <c r="F113" s="157"/>
      <c r="G113" s="157"/>
      <c r="H113" s="157"/>
      <c r="I113" s="157"/>
      <c r="J113" s="157"/>
      <c r="K113" s="154"/>
      <c r="L113" s="154"/>
      <c r="M113" s="151"/>
      <c r="N113" s="157"/>
      <c r="O113" s="157"/>
      <c r="P113" s="152"/>
      <c r="Q113" s="157"/>
      <c r="R113" s="152"/>
      <c r="S113" s="157"/>
      <c r="T113" s="152"/>
      <c r="U113" s="157"/>
      <c r="V113" s="151"/>
      <c r="W113" s="151"/>
      <c r="X113" s="155" t="str">
        <f t="shared" si="2"/>
        <v/>
      </c>
      <c r="Y113" s="152"/>
      <c r="Z113" s="158" t="str">
        <f>IF(ISERROR(VLOOKUP(Y113,'4 - SGs'!$A$4:$E$24,2)),"",VLOOKUP(Y113,'4 - SGs'!$A$4:$E$24,2))</f>
        <v/>
      </c>
      <c r="AA113" s="149"/>
      <c r="AB113" s="149"/>
      <c r="AC113" s="149"/>
      <c r="AD113" s="149"/>
      <c r="AE113" s="153"/>
    </row>
    <row r="114" spans="1:31" s="150" customFormat="1" ht="12">
      <c r="A114" s="157"/>
      <c r="B114" s="157"/>
      <c r="C114" s="151"/>
      <c r="D114" s="157"/>
      <c r="E114" s="157"/>
      <c r="F114" s="157"/>
      <c r="G114" s="157"/>
      <c r="H114" s="157"/>
      <c r="I114" s="157"/>
      <c r="J114" s="157"/>
      <c r="K114" s="154"/>
      <c r="L114" s="154"/>
      <c r="M114" s="151"/>
      <c r="N114" s="157"/>
      <c r="O114" s="157"/>
      <c r="P114" s="152"/>
      <c r="Q114" s="157"/>
      <c r="R114" s="152"/>
      <c r="S114" s="157"/>
      <c r="T114" s="152"/>
      <c r="U114" s="157"/>
      <c r="V114" s="151"/>
      <c r="W114" s="151"/>
      <c r="X114" s="155" t="str">
        <f t="shared" si="2"/>
        <v/>
      </c>
      <c r="Y114" s="152"/>
      <c r="Z114" s="158" t="str">
        <f>IF(ISERROR(VLOOKUP(Y114,'4 - SGs'!$A$4:$E$24,2)),"",VLOOKUP(Y114,'4 - SGs'!$A$4:$E$24,2))</f>
        <v/>
      </c>
      <c r="AA114" s="149"/>
      <c r="AB114" s="149"/>
      <c r="AC114" s="149"/>
      <c r="AD114" s="149"/>
      <c r="AE114" s="153"/>
    </row>
    <row r="115" spans="1:31" s="150" customFormat="1" ht="12">
      <c r="A115" s="157"/>
      <c r="B115" s="157"/>
      <c r="C115" s="151"/>
      <c r="D115" s="157"/>
      <c r="E115" s="157"/>
      <c r="F115" s="157"/>
      <c r="G115" s="157"/>
      <c r="H115" s="157"/>
      <c r="I115" s="157"/>
      <c r="J115" s="157"/>
      <c r="K115" s="154"/>
      <c r="L115" s="154"/>
      <c r="M115" s="151"/>
      <c r="N115" s="157"/>
      <c r="O115" s="157"/>
      <c r="P115" s="152"/>
      <c r="Q115" s="157"/>
      <c r="R115" s="152"/>
      <c r="S115" s="157"/>
      <c r="T115" s="152"/>
      <c r="U115" s="157"/>
      <c r="V115" s="151"/>
      <c r="W115" s="151"/>
      <c r="X115" s="155" t="str">
        <f t="shared" si="2"/>
        <v/>
      </c>
      <c r="Y115" s="152"/>
      <c r="Z115" s="158" t="str">
        <f>IF(ISERROR(VLOOKUP(Y115,'4 - SGs'!$A$4:$E$24,2)),"",VLOOKUP(Y115,'4 - SGs'!$A$4:$E$24,2))</f>
        <v/>
      </c>
      <c r="AA115" s="149"/>
      <c r="AB115" s="149"/>
      <c r="AC115" s="149"/>
      <c r="AD115" s="149"/>
      <c r="AE115" s="153"/>
    </row>
    <row r="116" spans="1:31" s="150" customFormat="1" ht="12">
      <c r="A116" s="157"/>
      <c r="B116" s="157"/>
      <c r="C116" s="151"/>
      <c r="D116" s="157"/>
      <c r="E116" s="157"/>
      <c r="F116" s="157"/>
      <c r="G116" s="157"/>
      <c r="H116" s="157"/>
      <c r="I116" s="157"/>
      <c r="J116" s="157"/>
      <c r="K116" s="154"/>
      <c r="L116" s="154"/>
      <c r="M116" s="151"/>
      <c r="N116" s="157"/>
      <c r="O116" s="157"/>
      <c r="P116" s="152"/>
      <c r="Q116" s="157"/>
      <c r="R116" s="152"/>
      <c r="S116" s="157"/>
      <c r="T116" s="152"/>
      <c r="U116" s="157"/>
      <c r="V116" s="151"/>
      <c r="W116" s="151"/>
      <c r="X116" s="155" t="str">
        <f t="shared" si="2"/>
        <v/>
      </c>
      <c r="Y116" s="152"/>
      <c r="Z116" s="158" t="str">
        <f>IF(ISERROR(VLOOKUP(Y116,'4 - SGs'!$A$4:$E$24,2)),"",VLOOKUP(Y116,'4 - SGs'!$A$4:$E$24,2))</f>
        <v/>
      </c>
      <c r="AA116" s="149"/>
      <c r="AB116" s="149"/>
      <c r="AC116" s="149"/>
      <c r="AD116" s="149"/>
      <c r="AE116" s="153"/>
    </row>
    <row r="117" spans="1:31" s="150" customFormat="1" ht="12">
      <c r="A117" s="157"/>
      <c r="B117" s="157"/>
      <c r="C117" s="151"/>
      <c r="D117" s="157"/>
      <c r="E117" s="157"/>
      <c r="F117" s="157"/>
      <c r="G117" s="157"/>
      <c r="H117" s="157"/>
      <c r="I117" s="157"/>
      <c r="J117" s="157"/>
      <c r="K117" s="154"/>
      <c r="L117" s="154"/>
      <c r="M117" s="151"/>
      <c r="N117" s="157"/>
      <c r="O117" s="157"/>
      <c r="P117" s="152"/>
      <c r="Q117" s="157"/>
      <c r="R117" s="152"/>
      <c r="S117" s="157"/>
      <c r="T117" s="152"/>
      <c r="U117" s="157"/>
      <c r="V117" s="151"/>
      <c r="W117" s="151"/>
      <c r="X117" s="155" t="str">
        <f t="shared" si="2"/>
        <v/>
      </c>
      <c r="Y117" s="152"/>
      <c r="Z117" s="158" t="str">
        <f>IF(ISERROR(VLOOKUP(Y117,'4 - SGs'!$A$4:$E$24,2)),"",VLOOKUP(Y117,'4 - SGs'!$A$4:$E$24,2))</f>
        <v/>
      </c>
      <c r="AA117" s="149"/>
      <c r="AB117" s="149"/>
      <c r="AC117" s="149"/>
      <c r="AD117" s="149"/>
      <c r="AE117" s="153"/>
    </row>
    <row r="118" spans="1:31" s="150" customFormat="1" ht="12">
      <c r="A118" s="157"/>
      <c r="B118" s="157"/>
      <c r="C118" s="151"/>
      <c r="D118" s="157"/>
      <c r="E118" s="157"/>
      <c r="F118" s="157"/>
      <c r="G118" s="157"/>
      <c r="H118" s="157"/>
      <c r="I118" s="157"/>
      <c r="J118" s="157"/>
      <c r="K118" s="154"/>
      <c r="L118" s="154"/>
      <c r="M118" s="151"/>
      <c r="N118" s="157"/>
      <c r="O118" s="157"/>
      <c r="P118" s="152"/>
      <c r="Q118" s="157"/>
      <c r="R118" s="152"/>
      <c r="S118" s="157"/>
      <c r="T118" s="152"/>
      <c r="U118" s="157"/>
      <c r="V118" s="151"/>
      <c r="W118" s="151"/>
      <c r="X118" s="155" t="str">
        <f t="shared" si="2"/>
        <v/>
      </c>
      <c r="Y118" s="152"/>
      <c r="Z118" s="158" t="str">
        <f>IF(ISERROR(VLOOKUP(Y118,'4 - SGs'!$A$4:$E$24,2)),"",VLOOKUP(Y118,'4 - SGs'!$A$4:$E$24,2))</f>
        <v/>
      </c>
      <c r="AA118" s="149"/>
      <c r="AB118" s="149"/>
      <c r="AC118" s="149"/>
      <c r="AD118" s="149"/>
      <c r="AE118" s="153"/>
    </row>
    <row r="119" spans="1:31" s="150" customFormat="1" ht="12">
      <c r="A119" s="157"/>
      <c r="B119" s="157"/>
      <c r="C119" s="151"/>
      <c r="D119" s="157"/>
      <c r="E119" s="157"/>
      <c r="F119" s="157"/>
      <c r="G119" s="157"/>
      <c r="H119" s="157"/>
      <c r="I119" s="157"/>
      <c r="J119" s="157"/>
      <c r="K119" s="154"/>
      <c r="L119" s="154"/>
      <c r="M119" s="151"/>
      <c r="N119" s="157"/>
      <c r="O119" s="157"/>
      <c r="P119" s="152"/>
      <c r="Q119" s="157"/>
      <c r="R119" s="152"/>
      <c r="S119" s="157"/>
      <c r="T119" s="152"/>
      <c r="U119" s="157"/>
      <c r="V119" s="151"/>
      <c r="W119" s="151"/>
      <c r="X119" s="155" t="str">
        <f t="shared" si="2"/>
        <v/>
      </c>
      <c r="Y119" s="152"/>
      <c r="Z119" s="158" t="str">
        <f>IF(ISERROR(VLOOKUP(Y119,'4 - SGs'!$A$4:$E$24,2)),"",VLOOKUP(Y119,'4 - SGs'!$A$4:$E$24,2))</f>
        <v/>
      </c>
      <c r="AA119" s="149"/>
      <c r="AB119" s="149"/>
      <c r="AC119" s="149"/>
      <c r="AD119" s="149"/>
      <c r="AE119" s="153"/>
    </row>
    <row r="120" spans="1:31" s="150" customFormat="1" ht="12">
      <c r="A120" s="157"/>
      <c r="B120" s="157"/>
      <c r="C120" s="151"/>
      <c r="D120" s="157"/>
      <c r="E120" s="157"/>
      <c r="F120" s="157"/>
      <c r="G120" s="157"/>
      <c r="H120" s="157"/>
      <c r="I120" s="157"/>
      <c r="J120" s="157"/>
      <c r="K120" s="154"/>
      <c r="L120" s="154"/>
      <c r="M120" s="151"/>
      <c r="N120" s="157"/>
      <c r="O120" s="157"/>
      <c r="P120" s="152"/>
      <c r="Q120" s="157"/>
      <c r="R120" s="152"/>
      <c r="S120" s="157"/>
      <c r="T120" s="152"/>
      <c r="U120" s="157"/>
      <c r="V120" s="151"/>
      <c r="W120" s="151"/>
      <c r="X120" s="155" t="str">
        <f t="shared" si="2"/>
        <v/>
      </c>
      <c r="Y120" s="152"/>
      <c r="Z120" s="158" t="str">
        <f>IF(ISERROR(VLOOKUP(Y120,'4 - SGs'!$A$4:$E$24,2)),"",VLOOKUP(Y120,'4 - SGs'!$A$4:$E$24,2))</f>
        <v/>
      </c>
      <c r="AA120" s="149"/>
      <c r="AB120" s="149"/>
      <c r="AC120" s="149"/>
      <c r="AD120" s="149"/>
      <c r="AE120" s="153"/>
    </row>
    <row r="121" spans="1:31" s="150" customFormat="1" ht="12">
      <c r="A121" s="157"/>
      <c r="B121" s="157"/>
      <c r="C121" s="151"/>
      <c r="D121" s="157"/>
      <c r="E121" s="157"/>
      <c r="F121" s="157"/>
      <c r="G121" s="157"/>
      <c r="H121" s="157"/>
      <c r="I121" s="157"/>
      <c r="J121" s="157"/>
      <c r="K121" s="154"/>
      <c r="L121" s="154"/>
      <c r="M121" s="151"/>
      <c r="N121" s="157"/>
      <c r="O121" s="157"/>
      <c r="P121" s="152"/>
      <c r="Q121" s="157"/>
      <c r="R121" s="152"/>
      <c r="S121" s="157"/>
      <c r="T121" s="152"/>
      <c r="U121" s="157"/>
      <c r="V121" s="151"/>
      <c r="W121" s="151"/>
      <c r="X121" s="155" t="str">
        <f t="shared" si="2"/>
        <v/>
      </c>
      <c r="Y121" s="152"/>
      <c r="Z121" s="158" t="str">
        <f>IF(ISERROR(VLOOKUP(Y121,'4 - SGs'!$A$4:$E$24,2)),"",VLOOKUP(Y121,'4 - SGs'!$A$4:$E$24,2))</f>
        <v/>
      </c>
      <c r="AA121" s="149"/>
      <c r="AB121" s="149"/>
      <c r="AC121" s="149"/>
      <c r="AD121" s="149"/>
      <c r="AE121" s="153"/>
    </row>
    <row r="122" spans="1:31" s="150" customFormat="1" ht="12">
      <c r="A122" s="157"/>
      <c r="B122" s="157"/>
      <c r="C122" s="151"/>
      <c r="D122" s="157"/>
      <c r="E122" s="157"/>
      <c r="F122" s="157"/>
      <c r="G122" s="157"/>
      <c r="H122" s="157"/>
      <c r="I122" s="157"/>
      <c r="J122" s="157"/>
      <c r="K122" s="154"/>
      <c r="L122" s="154"/>
      <c r="M122" s="151"/>
      <c r="N122" s="157"/>
      <c r="O122" s="157"/>
      <c r="P122" s="152"/>
      <c r="Q122" s="157"/>
      <c r="R122" s="152"/>
      <c r="S122" s="157"/>
      <c r="T122" s="152"/>
      <c r="U122" s="157"/>
      <c r="V122" s="151"/>
      <c r="W122" s="151"/>
      <c r="X122" s="155" t="str">
        <f t="shared" si="2"/>
        <v/>
      </c>
      <c r="Y122" s="152"/>
      <c r="Z122" s="158" t="str">
        <f>IF(ISERROR(VLOOKUP(Y122,'4 - SGs'!$A$4:$E$24,2)),"",VLOOKUP(Y122,'4 - SGs'!$A$4:$E$24,2))</f>
        <v/>
      </c>
      <c r="AA122" s="149"/>
      <c r="AB122" s="149"/>
      <c r="AC122" s="149"/>
      <c r="AD122" s="149"/>
      <c r="AE122" s="153"/>
    </row>
    <row r="123" spans="1:31" s="150" customFormat="1" ht="12">
      <c r="A123" s="157"/>
      <c r="B123" s="157"/>
      <c r="C123" s="151"/>
      <c r="D123" s="157"/>
      <c r="E123" s="157"/>
      <c r="F123" s="157"/>
      <c r="G123" s="157"/>
      <c r="H123" s="157"/>
      <c r="I123" s="157"/>
      <c r="J123" s="157"/>
      <c r="K123" s="154"/>
      <c r="L123" s="154"/>
      <c r="M123" s="151"/>
      <c r="N123" s="157"/>
      <c r="O123" s="157"/>
      <c r="P123" s="152"/>
      <c r="Q123" s="157"/>
      <c r="R123" s="152"/>
      <c r="S123" s="157"/>
      <c r="T123" s="152"/>
      <c r="U123" s="157"/>
      <c r="V123" s="151"/>
      <c r="W123" s="151"/>
      <c r="X123" s="155" t="str">
        <f t="shared" si="2"/>
        <v/>
      </c>
      <c r="Y123" s="152"/>
      <c r="Z123" s="158" t="str">
        <f>IF(ISERROR(VLOOKUP(Y123,'4 - SGs'!$A$4:$E$24,2)),"",VLOOKUP(Y123,'4 - SGs'!$A$4:$E$24,2))</f>
        <v/>
      </c>
      <c r="AA123" s="149"/>
      <c r="AB123" s="149"/>
      <c r="AC123" s="149"/>
      <c r="AD123" s="149"/>
      <c r="AE123" s="153"/>
    </row>
    <row r="124" spans="1:31" s="150" customFormat="1" ht="12">
      <c r="A124" s="157"/>
      <c r="B124" s="157"/>
      <c r="C124" s="151"/>
      <c r="D124" s="157"/>
      <c r="E124" s="157"/>
      <c r="F124" s="157"/>
      <c r="G124" s="157"/>
      <c r="H124" s="157"/>
      <c r="I124" s="157"/>
      <c r="J124" s="157"/>
      <c r="K124" s="154"/>
      <c r="L124" s="154"/>
      <c r="M124" s="151"/>
      <c r="N124" s="157"/>
      <c r="O124" s="157"/>
      <c r="P124" s="152"/>
      <c r="Q124" s="157"/>
      <c r="R124" s="152"/>
      <c r="S124" s="157"/>
      <c r="T124" s="152"/>
      <c r="U124" s="157"/>
      <c r="V124" s="151"/>
      <c r="W124" s="151"/>
      <c r="X124" s="155" t="str">
        <f t="shared" si="2"/>
        <v/>
      </c>
      <c r="Y124" s="152"/>
      <c r="Z124" s="158" t="str">
        <f>IF(ISERROR(VLOOKUP(Y124,'4 - SGs'!$A$4:$E$24,2)),"",VLOOKUP(Y124,'4 - SGs'!$A$4:$E$24,2))</f>
        <v/>
      </c>
      <c r="AA124" s="149"/>
      <c r="AB124" s="149"/>
      <c r="AC124" s="149"/>
      <c r="AD124" s="149"/>
      <c r="AE124" s="153"/>
    </row>
    <row r="125" spans="1:31" s="150" customFormat="1" ht="12">
      <c r="A125" s="157"/>
      <c r="B125" s="157"/>
      <c r="C125" s="151"/>
      <c r="D125" s="157"/>
      <c r="E125" s="157"/>
      <c r="F125" s="157"/>
      <c r="G125" s="157"/>
      <c r="H125" s="157"/>
      <c r="I125" s="157"/>
      <c r="J125" s="157"/>
      <c r="K125" s="154"/>
      <c r="L125" s="154"/>
      <c r="M125" s="151"/>
      <c r="N125" s="157"/>
      <c r="O125" s="157"/>
      <c r="P125" s="152"/>
      <c r="Q125" s="157"/>
      <c r="R125" s="152"/>
      <c r="S125" s="157"/>
      <c r="T125" s="152"/>
      <c r="U125" s="157"/>
      <c r="V125" s="151"/>
      <c r="W125" s="151"/>
      <c r="X125" s="155" t="str">
        <f t="shared" si="2"/>
        <v/>
      </c>
      <c r="Y125" s="152"/>
      <c r="Z125" s="158" t="str">
        <f>IF(ISERROR(VLOOKUP(Y125,'4 - SGs'!$A$4:$E$24,2)),"",VLOOKUP(Y125,'4 - SGs'!$A$4:$E$24,2))</f>
        <v/>
      </c>
      <c r="AA125" s="149"/>
      <c r="AB125" s="149"/>
      <c r="AC125" s="149"/>
      <c r="AD125" s="149"/>
      <c r="AE125" s="153"/>
    </row>
    <row r="126" spans="1:31" s="150" customFormat="1" ht="12">
      <c r="A126" s="157"/>
      <c r="B126" s="157"/>
      <c r="C126" s="151"/>
      <c r="D126" s="157"/>
      <c r="E126" s="157"/>
      <c r="F126" s="157"/>
      <c r="G126" s="157"/>
      <c r="H126" s="157"/>
      <c r="I126" s="157"/>
      <c r="J126" s="157"/>
      <c r="K126" s="154"/>
      <c r="L126" s="154"/>
      <c r="M126" s="151"/>
      <c r="N126" s="157"/>
      <c r="O126" s="157"/>
      <c r="P126" s="152"/>
      <c r="Q126" s="157"/>
      <c r="R126" s="152"/>
      <c r="S126" s="157"/>
      <c r="T126" s="152"/>
      <c r="U126" s="157"/>
      <c r="V126" s="151"/>
      <c r="W126" s="151"/>
      <c r="X126" s="155" t="str">
        <f t="shared" si="2"/>
        <v/>
      </c>
      <c r="Y126" s="152"/>
      <c r="Z126" s="158" t="str">
        <f>IF(ISERROR(VLOOKUP(Y126,'4 - SGs'!$A$4:$E$24,2)),"",VLOOKUP(Y126,'4 - SGs'!$A$4:$E$24,2))</f>
        <v/>
      </c>
      <c r="AA126" s="149"/>
      <c r="AB126" s="149"/>
      <c r="AC126" s="149"/>
      <c r="AD126" s="149"/>
      <c r="AE126" s="153"/>
    </row>
    <row r="127" spans="1:31" s="150" customFormat="1" ht="12">
      <c r="A127" s="157"/>
      <c r="B127" s="157"/>
      <c r="C127" s="151"/>
      <c r="D127" s="157"/>
      <c r="E127" s="157"/>
      <c r="F127" s="157"/>
      <c r="G127" s="157"/>
      <c r="H127" s="157"/>
      <c r="I127" s="157"/>
      <c r="J127" s="157"/>
      <c r="K127" s="154"/>
      <c r="L127" s="154"/>
      <c r="M127" s="151"/>
      <c r="N127" s="157"/>
      <c r="O127" s="157"/>
      <c r="P127" s="152"/>
      <c r="Q127" s="157"/>
      <c r="R127" s="152"/>
      <c r="S127" s="157"/>
      <c r="T127" s="152"/>
      <c r="U127" s="157"/>
      <c r="V127" s="151"/>
      <c r="W127" s="151"/>
      <c r="X127" s="155" t="str">
        <f t="shared" si="2"/>
        <v/>
      </c>
      <c r="Y127" s="152"/>
      <c r="Z127" s="158" t="str">
        <f>IF(ISERROR(VLOOKUP(Y127,'4 - SGs'!$A$4:$E$24,2)),"",VLOOKUP(Y127,'4 - SGs'!$A$4:$E$24,2))</f>
        <v/>
      </c>
      <c r="AA127" s="149"/>
      <c r="AB127" s="149"/>
      <c r="AC127" s="149"/>
      <c r="AD127" s="149"/>
      <c r="AE127" s="153"/>
    </row>
    <row r="128" spans="1:31" s="150" customFormat="1" ht="12">
      <c r="A128" s="157"/>
      <c r="B128" s="157"/>
      <c r="C128" s="151"/>
      <c r="D128" s="157"/>
      <c r="E128" s="157"/>
      <c r="F128" s="157"/>
      <c r="G128" s="157"/>
      <c r="H128" s="157"/>
      <c r="I128" s="157"/>
      <c r="J128" s="157"/>
      <c r="K128" s="154"/>
      <c r="L128" s="154"/>
      <c r="M128" s="151"/>
      <c r="N128" s="157"/>
      <c r="O128" s="157"/>
      <c r="P128" s="152"/>
      <c r="Q128" s="157"/>
      <c r="R128" s="152"/>
      <c r="S128" s="157"/>
      <c r="T128" s="152"/>
      <c r="U128" s="157"/>
      <c r="V128" s="151"/>
      <c r="W128" s="151"/>
      <c r="X128" s="155" t="str">
        <f t="shared" si="2"/>
        <v/>
      </c>
      <c r="Y128" s="152"/>
      <c r="Z128" s="158" t="str">
        <f>IF(ISERROR(VLOOKUP(Y128,'4 - SGs'!$A$4:$E$24,2)),"",VLOOKUP(Y128,'4 - SGs'!$A$4:$E$24,2))</f>
        <v/>
      </c>
      <c r="AA128" s="149"/>
      <c r="AB128" s="149"/>
      <c r="AC128" s="149"/>
      <c r="AD128" s="149"/>
      <c r="AE128" s="153"/>
    </row>
    <row r="129" spans="1:31" s="150" customFormat="1" ht="12">
      <c r="A129" s="157"/>
      <c r="B129" s="157"/>
      <c r="C129" s="151"/>
      <c r="D129" s="157"/>
      <c r="E129" s="157"/>
      <c r="F129" s="157"/>
      <c r="G129" s="157"/>
      <c r="H129" s="157"/>
      <c r="I129" s="157"/>
      <c r="J129" s="157"/>
      <c r="K129" s="154"/>
      <c r="L129" s="154"/>
      <c r="M129" s="151"/>
      <c r="N129" s="157"/>
      <c r="O129" s="157"/>
      <c r="P129" s="152"/>
      <c r="Q129" s="157"/>
      <c r="R129" s="152"/>
      <c r="S129" s="157"/>
      <c r="T129" s="152"/>
      <c r="U129" s="157"/>
      <c r="V129" s="151"/>
      <c r="W129" s="151"/>
      <c r="X129" s="155" t="str">
        <f t="shared" ref="X129:X192" si="3">IF(AND(ISBLANK(S_Wert),ISBLANK(E_Wert),ISBLANK(C_Wert)),"",IF(OR(S_Wert="S0",C_Wert="C0"),"",IF(E_Wert="E0","QM",IF(AND(S_Wert="-",E_Wert="-",C_Wert="-"),"?",VLOOKUP(S_Wert&amp;E_Wert,ASIL_Tabelle,MATCH(C_Wert,Controllability,0)+1,FALSE)))))</f>
        <v/>
      </c>
      <c r="Y129" s="152"/>
      <c r="Z129" s="158" t="str">
        <f>IF(ISERROR(VLOOKUP(Y129,'4 - SGs'!$A$4:$E$24,2)),"",VLOOKUP(Y129,'4 - SGs'!$A$4:$E$24,2))</f>
        <v/>
      </c>
      <c r="AA129" s="149"/>
      <c r="AB129" s="149"/>
      <c r="AC129" s="149"/>
      <c r="AD129" s="149"/>
      <c r="AE129" s="153"/>
    </row>
    <row r="130" spans="1:31" s="150" customFormat="1" ht="12">
      <c r="A130" s="157"/>
      <c r="B130" s="157"/>
      <c r="C130" s="151"/>
      <c r="D130" s="157"/>
      <c r="E130" s="157"/>
      <c r="F130" s="157"/>
      <c r="G130" s="157"/>
      <c r="H130" s="157"/>
      <c r="I130" s="157"/>
      <c r="J130" s="157"/>
      <c r="K130" s="154"/>
      <c r="L130" s="154"/>
      <c r="M130" s="151"/>
      <c r="N130" s="157"/>
      <c r="O130" s="157"/>
      <c r="P130" s="152"/>
      <c r="Q130" s="157"/>
      <c r="R130" s="152"/>
      <c r="S130" s="157"/>
      <c r="T130" s="152"/>
      <c r="U130" s="157"/>
      <c r="V130" s="151"/>
      <c r="W130" s="151"/>
      <c r="X130" s="155" t="str">
        <f t="shared" si="3"/>
        <v/>
      </c>
      <c r="Y130" s="152"/>
      <c r="Z130" s="158" t="str">
        <f>IF(ISERROR(VLOOKUP(Y130,'4 - SGs'!$A$4:$E$24,2)),"",VLOOKUP(Y130,'4 - SGs'!$A$4:$E$24,2))</f>
        <v/>
      </c>
      <c r="AA130" s="149"/>
      <c r="AB130" s="149"/>
      <c r="AC130" s="149"/>
      <c r="AD130" s="149"/>
      <c r="AE130" s="153"/>
    </row>
    <row r="131" spans="1:31" s="150" customFormat="1" ht="12">
      <c r="A131" s="157"/>
      <c r="B131" s="157"/>
      <c r="C131" s="151"/>
      <c r="D131" s="157"/>
      <c r="E131" s="157"/>
      <c r="F131" s="157"/>
      <c r="G131" s="157"/>
      <c r="H131" s="157"/>
      <c r="I131" s="157"/>
      <c r="J131" s="157"/>
      <c r="K131" s="154"/>
      <c r="L131" s="154"/>
      <c r="M131" s="151"/>
      <c r="N131" s="157"/>
      <c r="O131" s="157"/>
      <c r="P131" s="152"/>
      <c r="Q131" s="157"/>
      <c r="R131" s="152"/>
      <c r="S131" s="157"/>
      <c r="T131" s="152"/>
      <c r="U131" s="157"/>
      <c r="V131" s="151"/>
      <c r="W131" s="151"/>
      <c r="X131" s="155" t="str">
        <f t="shared" si="3"/>
        <v/>
      </c>
      <c r="Y131" s="152"/>
      <c r="Z131" s="158" t="str">
        <f>IF(ISERROR(VLOOKUP(Y131,'4 - SGs'!$A$4:$E$24,2)),"",VLOOKUP(Y131,'4 - SGs'!$A$4:$E$24,2))</f>
        <v/>
      </c>
      <c r="AA131" s="149"/>
      <c r="AB131" s="149"/>
      <c r="AC131" s="149"/>
      <c r="AD131" s="149"/>
      <c r="AE131" s="153"/>
    </row>
    <row r="132" spans="1:31" s="150" customFormat="1" ht="12">
      <c r="A132" s="157"/>
      <c r="B132" s="157"/>
      <c r="C132" s="151"/>
      <c r="D132" s="157"/>
      <c r="E132" s="157"/>
      <c r="F132" s="157"/>
      <c r="G132" s="157"/>
      <c r="H132" s="157"/>
      <c r="I132" s="157"/>
      <c r="J132" s="157"/>
      <c r="K132" s="154"/>
      <c r="L132" s="154"/>
      <c r="M132" s="151"/>
      <c r="N132" s="157"/>
      <c r="O132" s="157"/>
      <c r="P132" s="152"/>
      <c r="Q132" s="157"/>
      <c r="R132" s="152"/>
      <c r="S132" s="157"/>
      <c r="T132" s="152"/>
      <c r="U132" s="157"/>
      <c r="V132" s="151"/>
      <c r="W132" s="151"/>
      <c r="X132" s="155" t="str">
        <f t="shared" si="3"/>
        <v/>
      </c>
      <c r="Y132" s="152"/>
      <c r="Z132" s="158" t="str">
        <f>IF(ISERROR(VLOOKUP(Y132,'4 - SGs'!$A$4:$E$24,2)),"",VLOOKUP(Y132,'4 - SGs'!$A$4:$E$24,2))</f>
        <v/>
      </c>
      <c r="AA132" s="149"/>
      <c r="AB132" s="149"/>
      <c r="AC132" s="149"/>
      <c r="AD132" s="149"/>
      <c r="AE132" s="153"/>
    </row>
    <row r="133" spans="1:31" s="150" customFormat="1" ht="12">
      <c r="A133" s="157"/>
      <c r="B133" s="157"/>
      <c r="C133" s="151"/>
      <c r="D133" s="157"/>
      <c r="E133" s="157"/>
      <c r="F133" s="157"/>
      <c r="G133" s="157"/>
      <c r="H133" s="157"/>
      <c r="I133" s="157"/>
      <c r="J133" s="157"/>
      <c r="K133" s="154"/>
      <c r="L133" s="154"/>
      <c r="M133" s="151"/>
      <c r="N133" s="157"/>
      <c r="O133" s="157"/>
      <c r="P133" s="152"/>
      <c r="Q133" s="157"/>
      <c r="R133" s="152"/>
      <c r="S133" s="157"/>
      <c r="T133" s="152"/>
      <c r="U133" s="157"/>
      <c r="V133" s="151"/>
      <c r="W133" s="151"/>
      <c r="X133" s="155" t="str">
        <f t="shared" si="3"/>
        <v/>
      </c>
      <c r="Y133" s="152"/>
      <c r="Z133" s="158" t="str">
        <f>IF(ISERROR(VLOOKUP(Y133,'4 - SGs'!$A$4:$E$24,2)),"",VLOOKUP(Y133,'4 - SGs'!$A$4:$E$24,2))</f>
        <v/>
      </c>
      <c r="AA133" s="149"/>
      <c r="AB133" s="149"/>
      <c r="AC133" s="149"/>
      <c r="AD133" s="149"/>
      <c r="AE133" s="153"/>
    </row>
    <row r="134" spans="1:31" s="150" customFormat="1" ht="12">
      <c r="A134" s="157"/>
      <c r="B134" s="157"/>
      <c r="C134" s="151"/>
      <c r="D134" s="157"/>
      <c r="E134" s="157"/>
      <c r="F134" s="157"/>
      <c r="G134" s="157"/>
      <c r="H134" s="157"/>
      <c r="I134" s="157"/>
      <c r="J134" s="157"/>
      <c r="K134" s="154"/>
      <c r="L134" s="154"/>
      <c r="M134" s="151"/>
      <c r="N134" s="157"/>
      <c r="O134" s="157"/>
      <c r="P134" s="152"/>
      <c r="Q134" s="157"/>
      <c r="R134" s="152"/>
      <c r="S134" s="157"/>
      <c r="T134" s="152"/>
      <c r="U134" s="157"/>
      <c r="V134" s="151"/>
      <c r="W134" s="151"/>
      <c r="X134" s="155" t="str">
        <f t="shared" si="3"/>
        <v/>
      </c>
      <c r="Y134" s="152"/>
      <c r="Z134" s="158" t="str">
        <f>IF(ISERROR(VLOOKUP(Y134,'4 - SGs'!$A$4:$E$24,2)),"",VLOOKUP(Y134,'4 - SGs'!$A$4:$E$24,2))</f>
        <v/>
      </c>
      <c r="AA134" s="149"/>
      <c r="AB134" s="149"/>
      <c r="AC134" s="149"/>
      <c r="AD134" s="149"/>
      <c r="AE134" s="153"/>
    </row>
    <row r="135" spans="1:31" s="150" customFormat="1" ht="12">
      <c r="A135" s="157"/>
      <c r="B135" s="157"/>
      <c r="C135" s="151"/>
      <c r="D135" s="157"/>
      <c r="E135" s="157"/>
      <c r="F135" s="157"/>
      <c r="G135" s="157"/>
      <c r="H135" s="157"/>
      <c r="I135" s="157"/>
      <c r="J135" s="157"/>
      <c r="K135" s="154"/>
      <c r="L135" s="154"/>
      <c r="M135" s="151"/>
      <c r="N135" s="157"/>
      <c r="O135" s="157"/>
      <c r="P135" s="152"/>
      <c r="Q135" s="157"/>
      <c r="R135" s="152"/>
      <c r="S135" s="157"/>
      <c r="T135" s="152"/>
      <c r="U135" s="157"/>
      <c r="V135" s="151"/>
      <c r="W135" s="151"/>
      <c r="X135" s="155" t="str">
        <f t="shared" si="3"/>
        <v/>
      </c>
      <c r="Y135" s="152"/>
      <c r="Z135" s="158" t="str">
        <f>IF(ISERROR(VLOOKUP(Y135,'4 - SGs'!$A$4:$E$24,2)),"",VLOOKUP(Y135,'4 - SGs'!$A$4:$E$24,2))</f>
        <v/>
      </c>
      <c r="AA135" s="149"/>
      <c r="AB135" s="149"/>
      <c r="AC135" s="149"/>
      <c r="AD135" s="149"/>
      <c r="AE135" s="153"/>
    </row>
    <row r="136" spans="1:31" s="150" customFormat="1" ht="12">
      <c r="A136" s="157"/>
      <c r="B136" s="157"/>
      <c r="C136" s="151"/>
      <c r="D136" s="157"/>
      <c r="E136" s="157"/>
      <c r="F136" s="157"/>
      <c r="G136" s="157"/>
      <c r="H136" s="157"/>
      <c r="I136" s="157"/>
      <c r="J136" s="157"/>
      <c r="K136" s="154"/>
      <c r="L136" s="154"/>
      <c r="M136" s="151"/>
      <c r="N136" s="157"/>
      <c r="O136" s="157"/>
      <c r="P136" s="152"/>
      <c r="Q136" s="157"/>
      <c r="R136" s="152"/>
      <c r="S136" s="157"/>
      <c r="T136" s="152"/>
      <c r="U136" s="157"/>
      <c r="V136" s="151"/>
      <c r="W136" s="151"/>
      <c r="X136" s="155" t="str">
        <f t="shared" si="3"/>
        <v/>
      </c>
      <c r="Y136" s="152"/>
      <c r="Z136" s="158" t="str">
        <f>IF(ISERROR(VLOOKUP(Y136,'4 - SGs'!$A$4:$E$24,2)),"",VLOOKUP(Y136,'4 - SGs'!$A$4:$E$24,2))</f>
        <v/>
      </c>
      <c r="AA136" s="149"/>
      <c r="AB136" s="149"/>
      <c r="AC136" s="149"/>
      <c r="AD136" s="149"/>
      <c r="AE136" s="153"/>
    </row>
    <row r="137" spans="1:31" s="150" customFormat="1" ht="12">
      <c r="A137" s="157"/>
      <c r="B137" s="157"/>
      <c r="C137" s="151"/>
      <c r="D137" s="157"/>
      <c r="E137" s="157"/>
      <c r="F137" s="157"/>
      <c r="G137" s="157"/>
      <c r="H137" s="157"/>
      <c r="I137" s="157"/>
      <c r="J137" s="157"/>
      <c r="K137" s="154"/>
      <c r="L137" s="154"/>
      <c r="M137" s="151"/>
      <c r="N137" s="157"/>
      <c r="O137" s="157"/>
      <c r="P137" s="152"/>
      <c r="Q137" s="157"/>
      <c r="R137" s="152"/>
      <c r="S137" s="157"/>
      <c r="T137" s="152"/>
      <c r="U137" s="157"/>
      <c r="V137" s="151"/>
      <c r="W137" s="151"/>
      <c r="X137" s="155" t="str">
        <f t="shared" si="3"/>
        <v/>
      </c>
      <c r="Y137" s="152"/>
      <c r="Z137" s="158" t="str">
        <f>IF(ISERROR(VLOOKUP(Y137,'4 - SGs'!$A$4:$E$24,2)),"",VLOOKUP(Y137,'4 - SGs'!$A$4:$E$24,2))</f>
        <v/>
      </c>
      <c r="AA137" s="149"/>
      <c r="AB137" s="149"/>
      <c r="AC137" s="149"/>
      <c r="AD137" s="149"/>
      <c r="AE137" s="153"/>
    </row>
    <row r="138" spans="1:31" s="150" customFormat="1" ht="12">
      <c r="A138" s="157"/>
      <c r="B138" s="157"/>
      <c r="C138" s="151"/>
      <c r="D138" s="157"/>
      <c r="E138" s="157"/>
      <c r="F138" s="157"/>
      <c r="G138" s="157"/>
      <c r="H138" s="157"/>
      <c r="I138" s="157"/>
      <c r="J138" s="157"/>
      <c r="K138" s="154"/>
      <c r="L138" s="154"/>
      <c r="M138" s="151"/>
      <c r="N138" s="157"/>
      <c r="O138" s="157"/>
      <c r="P138" s="152"/>
      <c r="Q138" s="157"/>
      <c r="R138" s="152"/>
      <c r="S138" s="157"/>
      <c r="T138" s="152"/>
      <c r="U138" s="157"/>
      <c r="V138" s="151"/>
      <c r="W138" s="151"/>
      <c r="X138" s="155" t="str">
        <f t="shared" si="3"/>
        <v/>
      </c>
      <c r="Y138" s="152"/>
      <c r="Z138" s="158" t="str">
        <f>IF(ISERROR(VLOOKUP(Y138,'4 - SGs'!$A$4:$E$24,2)),"",VLOOKUP(Y138,'4 - SGs'!$A$4:$E$24,2))</f>
        <v/>
      </c>
      <c r="AA138" s="149"/>
      <c r="AB138" s="149"/>
      <c r="AC138" s="149"/>
      <c r="AD138" s="149"/>
      <c r="AE138" s="153"/>
    </row>
    <row r="139" spans="1:31" s="150" customFormat="1" ht="12">
      <c r="A139" s="157"/>
      <c r="B139" s="157"/>
      <c r="C139" s="151"/>
      <c r="D139" s="157"/>
      <c r="E139" s="157"/>
      <c r="F139" s="157"/>
      <c r="G139" s="157"/>
      <c r="H139" s="157"/>
      <c r="I139" s="157"/>
      <c r="J139" s="157"/>
      <c r="K139" s="154"/>
      <c r="L139" s="154"/>
      <c r="M139" s="151"/>
      <c r="N139" s="157"/>
      <c r="O139" s="157"/>
      <c r="P139" s="152"/>
      <c r="Q139" s="157"/>
      <c r="R139" s="152"/>
      <c r="S139" s="157"/>
      <c r="T139" s="152"/>
      <c r="U139" s="157"/>
      <c r="V139" s="151"/>
      <c r="W139" s="151"/>
      <c r="X139" s="155" t="str">
        <f t="shared" si="3"/>
        <v/>
      </c>
      <c r="Y139" s="152"/>
      <c r="Z139" s="158" t="str">
        <f>IF(ISERROR(VLOOKUP(Y139,'4 - SGs'!$A$4:$E$24,2)),"",VLOOKUP(Y139,'4 - SGs'!$A$4:$E$24,2))</f>
        <v/>
      </c>
      <c r="AA139" s="149"/>
      <c r="AB139" s="149"/>
      <c r="AC139" s="149"/>
      <c r="AD139" s="149"/>
      <c r="AE139" s="153"/>
    </row>
    <row r="140" spans="1:31" s="150" customFormat="1" ht="12">
      <c r="A140" s="157"/>
      <c r="B140" s="157"/>
      <c r="C140" s="151"/>
      <c r="D140" s="157"/>
      <c r="E140" s="157"/>
      <c r="F140" s="157"/>
      <c r="G140" s="157"/>
      <c r="H140" s="157"/>
      <c r="I140" s="157"/>
      <c r="J140" s="157"/>
      <c r="K140" s="154"/>
      <c r="L140" s="154"/>
      <c r="M140" s="151"/>
      <c r="N140" s="157"/>
      <c r="O140" s="157"/>
      <c r="P140" s="152"/>
      <c r="Q140" s="157"/>
      <c r="R140" s="152"/>
      <c r="S140" s="157"/>
      <c r="T140" s="152"/>
      <c r="U140" s="157"/>
      <c r="V140" s="151"/>
      <c r="W140" s="151"/>
      <c r="X140" s="155" t="str">
        <f t="shared" si="3"/>
        <v/>
      </c>
      <c r="Y140" s="152"/>
      <c r="Z140" s="158" t="str">
        <f>IF(ISERROR(VLOOKUP(Y140,'4 - SGs'!$A$4:$E$24,2)),"",VLOOKUP(Y140,'4 - SGs'!$A$4:$E$24,2))</f>
        <v/>
      </c>
      <c r="AA140" s="149"/>
      <c r="AB140" s="149"/>
      <c r="AC140" s="149"/>
      <c r="AD140" s="149"/>
      <c r="AE140" s="153"/>
    </row>
    <row r="141" spans="1:31" s="150" customFormat="1" ht="12">
      <c r="A141" s="157"/>
      <c r="B141" s="157"/>
      <c r="C141" s="151"/>
      <c r="D141" s="157"/>
      <c r="E141" s="157"/>
      <c r="F141" s="157"/>
      <c r="G141" s="157"/>
      <c r="H141" s="157"/>
      <c r="I141" s="157"/>
      <c r="J141" s="157"/>
      <c r="K141" s="154"/>
      <c r="L141" s="154"/>
      <c r="M141" s="151"/>
      <c r="N141" s="157"/>
      <c r="O141" s="157"/>
      <c r="P141" s="152"/>
      <c r="Q141" s="157"/>
      <c r="R141" s="152"/>
      <c r="S141" s="157"/>
      <c r="T141" s="152"/>
      <c r="U141" s="157"/>
      <c r="V141" s="151"/>
      <c r="W141" s="151"/>
      <c r="X141" s="155" t="str">
        <f t="shared" si="3"/>
        <v/>
      </c>
      <c r="Y141" s="152"/>
      <c r="Z141" s="158" t="str">
        <f>IF(ISERROR(VLOOKUP(Y141,'4 - SGs'!$A$4:$E$24,2)),"",VLOOKUP(Y141,'4 - SGs'!$A$4:$E$24,2))</f>
        <v/>
      </c>
      <c r="AA141" s="149"/>
      <c r="AB141" s="149"/>
      <c r="AC141" s="149"/>
      <c r="AD141" s="149"/>
      <c r="AE141" s="153"/>
    </row>
    <row r="142" spans="1:31" s="150" customFormat="1" ht="12">
      <c r="A142" s="157"/>
      <c r="B142" s="157"/>
      <c r="C142" s="151"/>
      <c r="D142" s="157"/>
      <c r="E142" s="157"/>
      <c r="F142" s="157"/>
      <c r="G142" s="157"/>
      <c r="H142" s="157"/>
      <c r="I142" s="157"/>
      <c r="J142" s="157"/>
      <c r="K142" s="154"/>
      <c r="L142" s="154"/>
      <c r="M142" s="151"/>
      <c r="N142" s="157"/>
      <c r="O142" s="157"/>
      <c r="P142" s="152"/>
      <c r="Q142" s="157"/>
      <c r="R142" s="152"/>
      <c r="S142" s="157"/>
      <c r="T142" s="152"/>
      <c r="U142" s="157"/>
      <c r="V142" s="151"/>
      <c r="W142" s="151"/>
      <c r="X142" s="155" t="str">
        <f t="shared" si="3"/>
        <v/>
      </c>
      <c r="Y142" s="152"/>
      <c r="Z142" s="158" t="str">
        <f>IF(ISERROR(VLOOKUP(Y142,'4 - SGs'!$A$4:$E$24,2)),"",VLOOKUP(Y142,'4 - SGs'!$A$4:$E$24,2))</f>
        <v/>
      </c>
      <c r="AA142" s="149"/>
      <c r="AB142" s="149"/>
      <c r="AC142" s="149"/>
      <c r="AD142" s="149"/>
      <c r="AE142" s="153"/>
    </row>
    <row r="143" spans="1:31" s="150" customFormat="1" ht="12">
      <c r="A143" s="157"/>
      <c r="B143" s="157"/>
      <c r="C143" s="151"/>
      <c r="D143" s="157"/>
      <c r="E143" s="157"/>
      <c r="F143" s="157"/>
      <c r="G143" s="157"/>
      <c r="H143" s="157"/>
      <c r="I143" s="157"/>
      <c r="J143" s="157"/>
      <c r="K143" s="154"/>
      <c r="L143" s="154"/>
      <c r="M143" s="151"/>
      <c r="N143" s="157"/>
      <c r="O143" s="157"/>
      <c r="P143" s="152"/>
      <c r="Q143" s="157"/>
      <c r="R143" s="152"/>
      <c r="S143" s="157"/>
      <c r="T143" s="152"/>
      <c r="U143" s="157"/>
      <c r="V143" s="151"/>
      <c r="W143" s="151"/>
      <c r="X143" s="155" t="str">
        <f t="shared" si="3"/>
        <v/>
      </c>
      <c r="Y143" s="152"/>
      <c r="Z143" s="158" t="str">
        <f>IF(ISERROR(VLOOKUP(Y143,'4 - SGs'!$A$4:$E$24,2)),"",VLOOKUP(Y143,'4 - SGs'!$A$4:$E$24,2))</f>
        <v/>
      </c>
      <c r="AA143" s="149"/>
      <c r="AB143" s="149"/>
      <c r="AC143" s="149"/>
      <c r="AD143" s="149"/>
      <c r="AE143" s="153"/>
    </row>
    <row r="144" spans="1:31" s="150" customFormat="1" ht="12">
      <c r="A144" s="157"/>
      <c r="B144" s="157"/>
      <c r="C144" s="151"/>
      <c r="D144" s="157"/>
      <c r="E144" s="157"/>
      <c r="F144" s="157"/>
      <c r="G144" s="157"/>
      <c r="H144" s="157"/>
      <c r="I144" s="157"/>
      <c r="J144" s="157"/>
      <c r="K144" s="154"/>
      <c r="L144" s="154"/>
      <c r="M144" s="151"/>
      <c r="N144" s="157"/>
      <c r="O144" s="157"/>
      <c r="P144" s="152"/>
      <c r="Q144" s="157"/>
      <c r="R144" s="152"/>
      <c r="S144" s="157"/>
      <c r="T144" s="152"/>
      <c r="U144" s="157"/>
      <c r="V144" s="151"/>
      <c r="W144" s="151"/>
      <c r="X144" s="155" t="str">
        <f t="shared" si="3"/>
        <v/>
      </c>
      <c r="Y144" s="152"/>
      <c r="Z144" s="158" t="str">
        <f>IF(ISERROR(VLOOKUP(Y144,'4 - SGs'!$A$4:$E$24,2)),"",VLOOKUP(Y144,'4 - SGs'!$A$4:$E$24,2))</f>
        <v/>
      </c>
      <c r="AA144" s="149"/>
      <c r="AB144" s="149"/>
      <c r="AC144" s="149"/>
      <c r="AD144" s="149"/>
      <c r="AE144" s="153"/>
    </row>
    <row r="145" spans="1:31" s="150" customFormat="1" ht="12">
      <c r="A145" s="157"/>
      <c r="B145" s="157"/>
      <c r="C145" s="151"/>
      <c r="D145" s="157"/>
      <c r="E145" s="157"/>
      <c r="F145" s="157"/>
      <c r="G145" s="157"/>
      <c r="H145" s="157"/>
      <c r="I145" s="157"/>
      <c r="J145" s="157"/>
      <c r="K145" s="154"/>
      <c r="L145" s="154"/>
      <c r="M145" s="151"/>
      <c r="N145" s="157"/>
      <c r="O145" s="157"/>
      <c r="P145" s="152"/>
      <c r="Q145" s="157"/>
      <c r="R145" s="152"/>
      <c r="S145" s="157"/>
      <c r="T145" s="152"/>
      <c r="U145" s="157"/>
      <c r="V145" s="151"/>
      <c r="W145" s="151"/>
      <c r="X145" s="155" t="str">
        <f t="shared" si="3"/>
        <v/>
      </c>
      <c r="Y145" s="152"/>
      <c r="Z145" s="158" t="str">
        <f>IF(ISERROR(VLOOKUP(Y145,'4 - SGs'!$A$4:$E$24,2)),"",VLOOKUP(Y145,'4 - SGs'!$A$4:$E$24,2))</f>
        <v/>
      </c>
      <c r="AA145" s="149"/>
      <c r="AB145" s="149"/>
      <c r="AC145" s="149"/>
      <c r="AD145" s="149"/>
      <c r="AE145" s="153"/>
    </row>
    <row r="146" spans="1:31" s="150" customFormat="1" ht="12">
      <c r="A146" s="157"/>
      <c r="B146" s="157"/>
      <c r="C146" s="151"/>
      <c r="D146" s="157"/>
      <c r="E146" s="157"/>
      <c r="F146" s="157"/>
      <c r="G146" s="157"/>
      <c r="H146" s="157"/>
      <c r="I146" s="157"/>
      <c r="J146" s="157"/>
      <c r="K146" s="154"/>
      <c r="L146" s="154"/>
      <c r="M146" s="151"/>
      <c r="N146" s="157"/>
      <c r="O146" s="157"/>
      <c r="P146" s="152"/>
      <c r="Q146" s="157"/>
      <c r="R146" s="152"/>
      <c r="S146" s="157"/>
      <c r="T146" s="152"/>
      <c r="U146" s="157"/>
      <c r="V146" s="151"/>
      <c r="W146" s="151"/>
      <c r="X146" s="155" t="str">
        <f t="shared" si="3"/>
        <v/>
      </c>
      <c r="Y146" s="152"/>
      <c r="Z146" s="158" t="str">
        <f>IF(ISERROR(VLOOKUP(Y146,'4 - SGs'!$A$4:$E$24,2)),"",VLOOKUP(Y146,'4 - SGs'!$A$4:$E$24,2))</f>
        <v/>
      </c>
      <c r="AA146" s="149"/>
      <c r="AB146" s="149"/>
      <c r="AC146" s="149"/>
      <c r="AD146" s="149"/>
      <c r="AE146" s="153"/>
    </row>
    <row r="147" spans="1:31" s="150" customFormat="1" ht="12">
      <c r="A147" s="157"/>
      <c r="B147" s="157"/>
      <c r="C147" s="151"/>
      <c r="D147" s="157"/>
      <c r="E147" s="157"/>
      <c r="F147" s="157"/>
      <c r="G147" s="157"/>
      <c r="H147" s="157"/>
      <c r="I147" s="157"/>
      <c r="J147" s="157"/>
      <c r="K147" s="154"/>
      <c r="L147" s="154"/>
      <c r="M147" s="151"/>
      <c r="N147" s="157"/>
      <c r="O147" s="157"/>
      <c r="P147" s="152"/>
      <c r="Q147" s="157"/>
      <c r="R147" s="152"/>
      <c r="S147" s="157"/>
      <c r="T147" s="152"/>
      <c r="U147" s="157"/>
      <c r="V147" s="151"/>
      <c r="W147" s="151"/>
      <c r="X147" s="155" t="str">
        <f t="shared" si="3"/>
        <v/>
      </c>
      <c r="Y147" s="152"/>
      <c r="Z147" s="158" t="str">
        <f>IF(ISERROR(VLOOKUP(Y147,'4 - SGs'!$A$4:$E$24,2)),"",VLOOKUP(Y147,'4 - SGs'!$A$4:$E$24,2))</f>
        <v/>
      </c>
      <c r="AA147" s="149"/>
      <c r="AB147" s="149"/>
      <c r="AC147" s="149"/>
      <c r="AD147" s="149"/>
      <c r="AE147" s="153"/>
    </row>
    <row r="148" spans="1:31" s="150" customFormat="1" ht="12">
      <c r="A148" s="157"/>
      <c r="B148" s="157"/>
      <c r="C148" s="151"/>
      <c r="D148" s="157"/>
      <c r="E148" s="157"/>
      <c r="F148" s="157"/>
      <c r="G148" s="157"/>
      <c r="H148" s="157"/>
      <c r="I148" s="157"/>
      <c r="J148" s="157"/>
      <c r="K148" s="154"/>
      <c r="L148" s="154"/>
      <c r="M148" s="151"/>
      <c r="N148" s="157"/>
      <c r="O148" s="157"/>
      <c r="P148" s="152"/>
      <c r="Q148" s="157"/>
      <c r="R148" s="152"/>
      <c r="S148" s="157"/>
      <c r="T148" s="152"/>
      <c r="U148" s="157"/>
      <c r="V148" s="151"/>
      <c r="W148" s="151"/>
      <c r="X148" s="155" t="str">
        <f t="shared" si="3"/>
        <v/>
      </c>
      <c r="Y148" s="152"/>
      <c r="Z148" s="158" t="str">
        <f>IF(ISERROR(VLOOKUP(Y148,'4 - SGs'!$A$4:$E$24,2)),"",VLOOKUP(Y148,'4 - SGs'!$A$4:$E$24,2))</f>
        <v/>
      </c>
      <c r="AA148" s="149"/>
      <c r="AB148" s="149"/>
      <c r="AC148" s="149"/>
      <c r="AD148" s="149"/>
      <c r="AE148" s="153"/>
    </row>
    <row r="149" spans="1:31" s="150" customFormat="1" ht="12">
      <c r="A149" s="157"/>
      <c r="B149" s="157"/>
      <c r="C149" s="151"/>
      <c r="D149" s="157"/>
      <c r="E149" s="157"/>
      <c r="F149" s="157"/>
      <c r="G149" s="157"/>
      <c r="H149" s="157"/>
      <c r="I149" s="157"/>
      <c r="J149" s="157"/>
      <c r="K149" s="154"/>
      <c r="L149" s="154"/>
      <c r="M149" s="151"/>
      <c r="N149" s="157"/>
      <c r="O149" s="157"/>
      <c r="P149" s="152"/>
      <c r="Q149" s="157"/>
      <c r="R149" s="152"/>
      <c r="S149" s="157"/>
      <c r="T149" s="152"/>
      <c r="U149" s="157"/>
      <c r="V149" s="151"/>
      <c r="W149" s="151"/>
      <c r="X149" s="155" t="str">
        <f t="shared" si="3"/>
        <v/>
      </c>
      <c r="Y149" s="152"/>
      <c r="Z149" s="158" t="str">
        <f>IF(ISERROR(VLOOKUP(Y149,'4 - SGs'!$A$4:$E$24,2)),"",VLOOKUP(Y149,'4 - SGs'!$A$4:$E$24,2))</f>
        <v/>
      </c>
      <c r="AA149" s="149"/>
      <c r="AB149" s="149"/>
      <c r="AC149" s="149"/>
      <c r="AD149" s="149"/>
      <c r="AE149" s="153"/>
    </row>
    <row r="150" spans="1:31" s="150" customFormat="1" ht="12">
      <c r="A150" s="157"/>
      <c r="B150" s="157"/>
      <c r="C150" s="151"/>
      <c r="D150" s="157"/>
      <c r="E150" s="157"/>
      <c r="F150" s="157"/>
      <c r="G150" s="157"/>
      <c r="H150" s="157"/>
      <c r="I150" s="157"/>
      <c r="J150" s="157"/>
      <c r="K150" s="154"/>
      <c r="L150" s="154"/>
      <c r="M150" s="151"/>
      <c r="N150" s="157"/>
      <c r="O150" s="157"/>
      <c r="P150" s="152"/>
      <c r="Q150" s="157"/>
      <c r="R150" s="152"/>
      <c r="S150" s="157"/>
      <c r="T150" s="152"/>
      <c r="U150" s="157"/>
      <c r="V150" s="151"/>
      <c r="W150" s="151"/>
      <c r="X150" s="155" t="str">
        <f t="shared" si="3"/>
        <v/>
      </c>
      <c r="Y150" s="152"/>
      <c r="Z150" s="158" t="str">
        <f>IF(ISERROR(VLOOKUP(Y150,'4 - SGs'!$A$4:$E$24,2)),"",VLOOKUP(Y150,'4 - SGs'!$A$4:$E$24,2))</f>
        <v/>
      </c>
      <c r="AA150" s="149"/>
      <c r="AB150" s="149"/>
      <c r="AC150" s="149"/>
      <c r="AD150" s="149"/>
      <c r="AE150" s="153"/>
    </row>
    <row r="151" spans="1:31" s="150" customFormat="1" ht="12">
      <c r="A151" s="157"/>
      <c r="B151" s="157"/>
      <c r="C151" s="151"/>
      <c r="D151" s="157"/>
      <c r="E151" s="157"/>
      <c r="F151" s="157"/>
      <c r="G151" s="157"/>
      <c r="H151" s="157"/>
      <c r="I151" s="157"/>
      <c r="J151" s="157"/>
      <c r="K151" s="154"/>
      <c r="L151" s="154"/>
      <c r="M151" s="151"/>
      <c r="N151" s="157"/>
      <c r="O151" s="157"/>
      <c r="P151" s="152"/>
      <c r="Q151" s="157"/>
      <c r="R151" s="152"/>
      <c r="S151" s="157"/>
      <c r="T151" s="152"/>
      <c r="U151" s="157"/>
      <c r="V151" s="151"/>
      <c r="W151" s="151"/>
      <c r="X151" s="155" t="str">
        <f t="shared" si="3"/>
        <v/>
      </c>
      <c r="Y151" s="152"/>
      <c r="Z151" s="158" t="str">
        <f>IF(ISERROR(VLOOKUP(Y151,'4 - SGs'!$A$4:$E$24,2)),"",VLOOKUP(Y151,'4 - SGs'!$A$4:$E$24,2))</f>
        <v/>
      </c>
      <c r="AA151" s="149"/>
      <c r="AB151" s="149"/>
      <c r="AC151" s="149"/>
      <c r="AD151" s="149"/>
      <c r="AE151" s="153"/>
    </row>
    <row r="152" spans="1:31" s="150" customFormat="1" ht="12">
      <c r="A152" s="157"/>
      <c r="B152" s="157"/>
      <c r="C152" s="151"/>
      <c r="D152" s="157"/>
      <c r="E152" s="157"/>
      <c r="F152" s="157"/>
      <c r="G152" s="157"/>
      <c r="H152" s="157"/>
      <c r="I152" s="157"/>
      <c r="J152" s="157"/>
      <c r="K152" s="154"/>
      <c r="L152" s="154"/>
      <c r="M152" s="151"/>
      <c r="N152" s="157"/>
      <c r="O152" s="157"/>
      <c r="P152" s="152"/>
      <c r="Q152" s="157"/>
      <c r="R152" s="152"/>
      <c r="S152" s="157"/>
      <c r="T152" s="152"/>
      <c r="U152" s="157"/>
      <c r="V152" s="151"/>
      <c r="W152" s="151"/>
      <c r="X152" s="155" t="str">
        <f t="shared" si="3"/>
        <v/>
      </c>
      <c r="Y152" s="152"/>
      <c r="Z152" s="158" t="str">
        <f>IF(ISERROR(VLOOKUP(Y152,'4 - SGs'!$A$4:$E$24,2)),"",VLOOKUP(Y152,'4 - SGs'!$A$4:$E$24,2))</f>
        <v/>
      </c>
      <c r="AA152" s="149"/>
      <c r="AB152" s="149"/>
      <c r="AC152" s="149"/>
      <c r="AD152" s="149"/>
      <c r="AE152" s="153"/>
    </row>
    <row r="153" spans="1:31" s="150" customFormat="1" ht="12">
      <c r="A153" s="157"/>
      <c r="B153" s="157"/>
      <c r="C153" s="151"/>
      <c r="D153" s="157"/>
      <c r="E153" s="157"/>
      <c r="F153" s="157"/>
      <c r="G153" s="157"/>
      <c r="H153" s="157"/>
      <c r="I153" s="157"/>
      <c r="J153" s="157"/>
      <c r="K153" s="154"/>
      <c r="L153" s="154"/>
      <c r="M153" s="151"/>
      <c r="N153" s="157"/>
      <c r="O153" s="157"/>
      <c r="P153" s="152"/>
      <c r="Q153" s="157"/>
      <c r="R153" s="152"/>
      <c r="S153" s="157"/>
      <c r="T153" s="152"/>
      <c r="U153" s="157"/>
      <c r="V153" s="151"/>
      <c r="W153" s="151"/>
      <c r="X153" s="155" t="str">
        <f t="shared" si="3"/>
        <v/>
      </c>
      <c r="Y153" s="152"/>
      <c r="Z153" s="158" t="str">
        <f>IF(ISERROR(VLOOKUP(Y153,'4 - SGs'!$A$4:$E$24,2)),"",VLOOKUP(Y153,'4 - SGs'!$A$4:$E$24,2))</f>
        <v/>
      </c>
      <c r="AA153" s="149"/>
      <c r="AB153" s="149"/>
      <c r="AC153" s="149"/>
      <c r="AD153" s="149"/>
      <c r="AE153" s="153"/>
    </row>
    <row r="154" spans="1:31" s="150" customFormat="1" ht="12">
      <c r="A154" s="157"/>
      <c r="B154" s="157"/>
      <c r="C154" s="151"/>
      <c r="D154" s="157"/>
      <c r="E154" s="157"/>
      <c r="F154" s="157"/>
      <c r="G154" s="157"/>
      <c r="H154" s="157"/>
      <c r="I154" s="157"/>
      <c r="J154" s="157"/>
      <c r="K154" s="154"/>
      <c r="L154" s="154"/>
      <c r="M154" s="151"/>
      <c r="N154" s="157"/>
      <c r="O154" s="157"/>
      <c r="P154" s="152"/>
      <c r="Q154" s="157"/>
      <c r="R154" s="152"/>
      <c r="S154" s="157"/>
      <c r="T154" s="152"/>
      <c r="U154" s="157"/>
      <c r="V154" s="151"/>
      <c r="W154" s="151"/>
      <c r="X154" s="155" t="str">
        <f t="shared" si="3"/>
        <v/>
      </c>
      <c r="Y154" s="152"/>
      <c r="Z154" s="158" t="str">
        <f>IF(ISERROR(VLOOKUP(Y154,'4 - SGs'!$A$4:$E$24,2)),"",VLOOKUP(Y154,'4 - SGs'!$A$4:$E$24,2))</f>
        <v/>
      </c>
      <c r="AA154" s="149"/>
      <c r="AB154" s="149"/>
      <c r="AC154" s="149"/>
      <c r="AD154" s="149"/>
      <c r="AE154" s="153"/>
    </row>
    <row r="155" spans="1:31" s="150" customFormat="1" ht="12">
      <c r="A155" s="157"/>
      <c r="B155" s="157"/>
      <c r="C155" s="151"/>
      <c r="D155" s="157"/>
      <c r="E155" s="157"/>
      <c r="F155" s="157"/>
      <c r="G155" s="157"/>
      <c r="H155" s="157"/>
      <c r="I155" s="157"/>
      <c r="J155" s="157"/>
      <c r="K155" s="154"/>
      <c r="L155" s="154"/>
      <c r="M155" s="151"/>
      <c r="N155" s="157"/>
      <c r="O155" s="157"/>
      <c r="P155" s="152"/>
      <c r="Q155" s="157"/>
      <c r="R155" s="152"/>
      <c r="S155" s="157"/>
      <c r="T155" s="152"/>
      <c r="U155" s="157"/>
      <c r="V155" s="151"/>
      <c r="W155" s="151"/>
      <c r="X155" s="155" t="str">
        <f t="shared" si="3"/>
        <v/>
      </c>
      <c r="Y155" s="152"/>
      <c r="Z155" s="158" t="str">
        <f>IF(ISERROR(VLOOKUP(Y155,'4 - SGs'!$A$4:$E$24,2)),"",VLOOKUP(Y155,'4 - SGs'!$A$4:$E$24,2))</f>
        <v/>
      </c>
      <c r="AA155" s="149"/>
      <c r="AB155" s="149"/>
      <c r="AC155" s="149"/>
      <c r="AD155" s="149"/>
      <c r="AE155" s="153"/>
    </row>
    <row r="156" spans="1:31" s="150" customFormat="1" ht="12">
      <c r="A156" s="157"/>
      <c r="B156" s="157"/>
      <c r="C156" s="151"/>
      <c r="D156" s="157"/>
      <c r="E156" s="157"/>
      <c r="F156" s="157"/>
      <c r="G156" s="157"/>
      <c r="H156" s="157"/>
      <c r="I156" s="157"/>
      <c r="J156" s="157"/>
      <c r="K156" s="154"/>
      <c r="L156" s="154"/>
      <c r="M156" s="151"/>
      <c r="N156" s="157"/>
      <c r="O156" s="157"/>
      <c r="P156" s="152"/>
      <c r="Q156" s="157"/>
      <c r="R156" s="152"/>
      <c r="S156" s="157"/>
      <c r="T156" s="152"/>
      <c r="U156" s="157"/>
      <c r="V156" s="151"/>
      <c r="W156" s="151"/>
      <c r="X156" s="155" t="str">
        <f t="shared" si="3"/>
        <v/>
      </c>
      <c r="Y156" s="152"/>
      <c r="Z156" s="158" t="str">
        <f>IF(ISERROR(VLOOKUP(Y156,'4 - SGs'!$A$4:$E$24,2)),"",VLOOKUP(Y156,'4 - SGs'!$A$4:$E$24,2))</f>
        <v/>
      </c>
      <c r="AA156" s="149"/>
      <c r="AB156" s="149"/>
      <c r="AC156" s="149"/>
      <c r="AD156" s="149"/>
      <c r="AE156" s="153"/>
    </row>
    <row r="157" spans="1:31" s="150" customFormat="1" ht="12">
      <c r="A157" s="157"/>
      <c r="B157" s="157"/>
      <c r="C157" s="151"/>
      <c r="D157" s="157"/>
      <c r="E157" s="157"/>
      <c r="F157" s="157"/>
      <c r="G157" s="157"/>
      <c r="H157" s="157"/>
      <c r="I157" s="157"/>
      <c r="J157" s="157"/>
      <c r="K157" s="154"/>
      <c r="L157" s="154"/>
      <c r="M157" s="151"/>
      <c r="N157" s="157"/>
      <c r="O157" s="157"/>
      <c r="P157" s="152"/>
      <c r="Q157" s="157"/>
      <c r="R157" s="152"/>
      <c r="S157" s="157"/>
      <c r="T157" s="152"/>
      <c r="U157" s="157"/>
      <c r="V157" s="151"/>
      <c r="W157" s="151"/>
      <c r="X157" s="155" t="str">
        <f t="shared" si="3"/>
        <v/>
      </c>
      <c r="Y157" s="152"/>
      <c r="Z157" s="158" t="str">
        <f>IF(ISERROR(VLOOKUP(Y157,'4 - SGs'!$A$4:$E$24,2)),"",VLOOKUP(Y157,'4 - SGs'!$A$4:$E$24,2))</f>
        <v/>
      </c>
      <c r="AA157" s="149"/>
      <c r="AB157" s="149"/>
      <c r="AC157" s="149"/>
      <c r="AD157" s="149"/>
      <c r="AE157" s="153"/>
    </row>
    <row r="158" spans="1:31" s="150" customFormat="1" ht="12">
      <c r="A158" s="157"/>
      <c r="B158" s="157"/>
      <c r="C158" s="151"/>
      <c r="D158" s="157"/>
      <c r="E158" s="157"/>
      <c r="F158" s="157"/>
      <c r="G158" s="157"/>
      <c r="H158" s="157"/>
      <c r="I158" s="157"/>
      <c r="J158" s="157"/>
      <c r="K158" s="154"/>
      <c r="L158" s="154"/>
      <c r="M158" s="151"/>
      <c r="N158" s="157"/>
      <c r="O158" s="157"/>
      <c r="P158" s="152"/>
      <c r="Q158" s="157"/>
      <c r="R158" s="152"/>
      <c r="S158" s="157"/>
      <c r="T158" s="152"/>
      <c r="U158" s="157"/>
      <c r="V158" s="151"/>
      <c r="W158" s="151"/>
      <c r="X158" s="155" t="str">
        <f t="shared" si="3"/>
        <v/>
      </c>
      <c r="Y158" s="152"/>
      <c r="Z158" s="158" t="str">
        <f>IF(ISERROR(VLOOKUP(Y158,'4 - SGs'!$A$4:$E$24,2)),"",VLOOKUP(Y158,'4 - SGs'!$A$4:$E$24,2))</f>
        <v/>
      </c>
      <c r="AA158" s="149"/>
      <c r="AB158" s="149"/>
      <c r="AC158" s="149"/>
      <c r="AD158" s="149"/>
      <c r="AE158" s="153"/>
    </row>
    <row r="159" spans="1:31" s="150" customFormat="1" ht="12">
      <c r="A159" s="157"/>
      <c r="B159" s="157"/>
      <c r="C159" s="151"/>
      <c r="D159" s="157"/>
      <c r="E159" s="157"/>
      <c r="F159" s="157"/>
      <c r="G159" s="157"/>
      <c r="H159" s="157"/>
      <c r="I159" s="157"/>
      <c r="J159" s="157"/>
      <c r="K159" s="154"/>
      <c r="L159" s="154"/>
      <c r="M159" s="151"/>
      <c r="N159" s="157"/>
      <c r="O159" s="157"/>
      <c r="P159" s="152"/>
      <c r="Q159" s="157"/>
      <c r="R159" s="152"/>
      <c r="S159" s="157"/>
      <c r="T159" s="152"/>
      <c r="U159" s="157"/>
      <c r="V159" s="151"/>
      <c r="W159" s="151"/>
      <c r="X159" s="155" t="str">
        <f t="shared" si="3"/>
        <v/>
      </c>
      <c r="Y159" s="152"/>
      <c r="Z159" s="158" t="str">
        <f>IF(ISERROR(VLOOKUP(Y159,'4 - SGs'!$A$4:$E$24,2)),"",VLOOKUP(Y159,'4 - SGs'!$A$4:$E$24,2))</f>
        <v/>
      </c>
      <c r="AA159" s="149"/>
      <c r="AB159" s="149"/>
      <c r="AC159" s="149"/>
      <c r="AD159" s="149"/>
      <c r="AE159" s="153"/>
    </row>
    <row r="160" spans="1:31" s="150" customFormat="1" ht="12">
      <c r="A160" s="157"/>
      <c r="B160" s="157"/>
      <c r="C160" s="151"/>
      <c r="D160" s="157"/>
      <c r="E160" s="157"/>
      <c r="F160" s="157"/>
      <c r="G160" s="157"/>
      <c r="H160" s="157"/>
      <c r="I160" s="157"/>
      <c r="J160" s="157"/>
      <c r="K160" s="154"/>
      <c r="L160" s="154"/>
      <c r="M160" s="151"/>
      <c r="N160" s="157"/>
      <c r="O160" s="157"/>
      <c r="P160" s="152"/>
      <c r="Q160" s="157"/>
      <c r="R160" s="152"/>
      <c r="S160" s="157"/>
      <c r="T160" s="152"/>
      <c r="U160" s="157"/>
      <c r="V160" s="151"/>
      <c r="W160" s="151"/>
      <c r="X160" s="155" t="str">
        <f t="shared" si="3"/>
        <v/>
      </c>
      <c r="Y160" s="152"/>
      <c r="Z160" s="158" t="str">
        <f>IF(ISERROR(VLOOKUP(Y160,'4 - SGs'!$A$4:$E$24,2)),"",VLOOKUP(Y160,'4 - SGs'!$A$4:$E$24,2))</f>
        <v/>
      </c>
      <c r="AA160" s="149"/>
      <c r="AB160" s="149"/>
      <c r="AC160" s="149"/>
      <c r="AD160" s="149"/>
      <c r="AE160" s="153"/>
    </row>
    <row r="161" spans="1:31" s="150" customFormat="1" ht="12">
      <c r="A161" s="157"/>
      <c r="B161" s="157"/>
      <c r="C161" s="151"/>
      <c r="D161" s="157"/>
      <c r="E161" s="157"/>
      <c r="F161" s="157"/>
      <c r="G161" s="157"/>
      <c r="H161" s="157"/>
      <c r="I161" s="157"/>
      <c r="J161" s="157"/>
      <c r="K161" s="154"/>
      <c r="L161" s="154"/>
      <c r="M161" s="151"/>
      <c r="N161" s="157"/>
      <c r="O161" s="157"/>
      <c r="P161" s="152"/>
      <c r="Q161" s="157"/>
      <c r="R161" s="152"/>
      <c r="S161" s="157"/>
      <c r="T161" s="152"/>
      <c r="U161" s="157"/>
      <c r="V161" s="151"/>
      <c r="W161" s="151"/>
      <c r="X161" s="155" t="str">
        <f t="shared" si="3"/>
        <v/>
      </c>
      <c r="Y161" s="152"/>
      <c r="Z161" s="158" t="str">
        <f>IF(ISERROR(VLOOKUP(Y161,'4 - SGs'!$A$4:$E$24,2)),"",VLOOKUP(Y161,'4 - SGs'!$A$4:$E$24,2))</f>
        <v/>
      </c>
      <c r="AA161" s="149"/>
      <c r="AB161" s="149"/>
      <c r="AC161" s="149"/>
      <c r="AD161" s="149"/>
      <c r="AE161" s="153"/>
    </row>
    <row r="162" spans="1:31" s="150" customFormat="1" ht="12">
      <c r="A162" s="157"/>
      <c r="B162" s="157"/>
      <c r="C162" s="151"/>
      <c r="D162" s="157"/>
      <c r="E162" s="157"/>
      <c r="F162" s="157"/>
      <c r="G162" s="157"/>
      <c r="H162" s="157"/>
      <c r="I162" s="157"/>
      <c r="J162" s="157"/>
      <c r="K162" s="154"/>
      <c r="L162" s="154"/>
      <c r="M162" s="151"/>
      <c r="N162" s="157"/>
      <c r="O162" s="157"/>
      <c r="P162" s="152"/>
      <c r="Q162" s="157"/>
      <c r="R162" s="152"/>
      <c r="S162" s="157"/>
      <c r="T162" s="152"/>
      <c r="U162" s="157"/>
      <c r="V162" s="151"/>
      <c r="W162" s="151"/>
      <c r="X162" s="155" t="str">
        <f t="shared" si="3"/>
        <v/>
      </c>
      <c r="Y162" s="152"/>
      <c r="Z162" s="158" t="str">
        <f>IF(ISERROR(VLOOKUP(Y162,'4 - SGs'!$A$4:$E$24,2)),"",VLOOKUP(Y162,'4 - SGs'!$A$4:$E$24,2))</f>
        <v/>
      </c>
      <c r="AA162" s="149"/>
      <c r="AB162" s="149"/>
      <c r="AC162" s="149"/>
      <c r="AD162" s="149"/>
      <c r="AE162" s="153"/>
    </row>
    <row r="163" spans="1:31" s="150" customFormat="1" ht="12">
      <c r="A163" s="157"/>
      <c r="B163" s="157"/>
      <c r="C163" s="151"/>
      <c r="D163" s="157"/>
      <c r="E163" s="157"/>
      <c r="F163" s="157"/>
      <c r="G163" s="157"/>
      <c r="H163" s="157"/>
      <c r="I163" s="157"/>
      <c r="J163" s="157"/>
      <c r="K163" s="154"/>
      <c r="L163" s="154"/>
      <c r="M163" s="151"/>
      <c r="N163" s="157"/>
      <c r="O163" s="157"/>
      <c r="P163" s="152"/>
      <c r="Q163" s="157"/>
      <c r="R163" s="152"/>
      <c r="S163" s="157"/>
      <c r="T163" s="152"/>
      <c r="U163" s="157"/>
      <c r="V163" s="151"/>
      <c r="W163" s="151"/>
      <c r="X163" s="155" t="str">
        <f t="shared" si="3"/>
        <v/>
      </c>
      <c r="Y163" s="152"/>
      <c r="Z163" s="158" t="str">
        <f>IF(ISERROR(VLOOKUP(Y163,'4 - SGs'!$A$4:$E$24,2)),"",VLOOKUP(Y163,'4 - SGs'!$A$4:$E$24,2))</f>
        <v/>
      </c>
      <c r="AA163" s="149"/>
      <c r="AB163" s="149"/>
      <c r="AC163" s="149"/>
      <c r="AD163" s="149"/>
      <c r="AE163" s="153"/>
    </row>
    <row r="164" spans="1:31" s="150" customFormat="1" ht="12">
      <c r="A164" s="157"/>
      <c r="B164" s="157"/>
      <c r="C164" s="151"/>
      <c r="D164" s="157"/>
      <c r="E164" s="157"/>
      <c r="F164" s="157"/>
      <c r="G164" s="157"/>
      <c r="H164" s="157"/>
      <c r="I164" s="157"/>
      <c r="J164" s="157"/>
      <c r="K164" s="154"/>
      <c r="L164" s="154"/>
      <c r="M164" s="151"/>
      <c r="N164" s="157"/>
      <c r="O164" s="157"/>
      <c r="P164" s="152"/>
      <c r="Q164" s="157"/>
      <c r="R164" s="152"/>
      <c r="S164" s="157"/>
      <c r="T164" s="152"/>
      <c r="U164" s="157"/>
      <c r="V164" s="151"/>
      <c r="W164" s="151"/>
      <c r="X164" s="155" t="str">
        <f t="shared" si="3"/>
        <v/>
      </c>
      <c r="Y164" s="152"/>
      <c r="Z164" s="158" t="str">
        <f>IF(ISERROR(VLOOKUP(Y164,'4 - SGs'!$A$4:$E$24,2)),"",VLOOKUP(Y164,'4 - SGs'!$A$4:$E$24,2))</f>
        <v/>
      </c>
      <c r="AA164" s="149"/>
      <c r="AB164" s="149"/>
      <c r="AC164" s="149"/>
      <c r="AD164" s="149"/>
      <c r="AE164" s="153"/>
    </row>
    <row r="165" spans="1:31" s="150" customFormat="1" ht="12">
      <c r="A165" s="157"/>
      <c r="B165" s="157"/>
      <c r="C165" s="151"/>
      <c r="D165" s="157"/>
      <c r="E165" s="157"/>
      <c r="F165" s="157"/>
      <c r="G165" s="157"/>
      <c r="H165" s="157"/>
      <c r="I165" s="157"/>
      <c r="J165" s="157"/>
      <c r="K165" s="154"/>
      <c r="L165" s="154"/>
      <c r="M165" s="151"/>
      <c r="N165" s="157"/>
      <c r="O165" s="157"/>
      <c r="P165" s="152"/>
      <c r="Q165" s="157"/>
      <c r="R165" s="152"/>
      <c r="S165" s="157"/>
      <c r="T165" s="152"/>
      <c r="U165" s="157"/>
      <c r="V165" s="151"/>
      <c r="W165" s="151"/>
      <c r="X165" s="155" t="str">
        <f t="shared" si="3"/>
        <v/>
      </c>
      <c r="Y165" s="152"/>
      <c r="Z165" s="158" t="str">
        <f>IF(ISERROR(VLOOKUP(Y165,'4 - SGs'!$A$4:$E$24,2)),"",VLOOKUP(Y165,'4 - SGs'!$A$4:$E$24,2))</f>
        <v/>
      </c>
      <c r="AA165" s="149"/>
      <c r="AB165" s="149"/>
      <c r="AC165" s="149"/>
      <c r="AD165" s="149"/>
      <c r="AE165" s="153"/>
    </row>
    <row r="166" spans="1:31" s="150" customFormat="1" ht="12">
      <c r="A166" s="157"/>
      <c r="B166" s="157"/>
      <c r="C166" s="151"/>
      <c r="D166" s="157"/>
      <c r="E166" s="157"/>
      <c r="F166" s="157"/>
      <c r="G166" s="157"/>
      <c r="H166" s="157"/>
      <c r="I166" s="157"/>
      <c r="J166" s="157"/>
      <c r="K166" s="154"/>
      <c r="L166" s="154"/>
      <c r="M166" s="151"/>
      <c r="N166" s="157"/>
      <c r="O166" s="157"/>
      <c r="P166" s="152"/>
      <c r="Q166" s="157"/>
      <c r="R166" s="152"/>
      <c r="S166" s="157"/>
      <c r="T166" s="152"/>
      <c r="U166" s="157"/>
      <c r="V166" s="151"/>
      <c r="W166" s="151"/>
      <c r="X166" s="155" t="str">
        <f t="shared" si="3"/>
        <v/>
      </c>
      <c r="Y166" s="152"/>
      <c r="Z166" s="158" t="str">
        <f>IF(ISERROR(VLOOKUP(Y166,'4 - SGs'!$A$4:$E$24,2)),"",VLOOKUP(Y166,'4 - SGs'!$A$4:$E$24,2))</f>
        <v/>
      </c>
      <c r="AA166" s="149"/>
      <c r="AB166" s="149"/>
      <c r="AC166" s="149"/>
      <c r="AD166" s="149"/>
      <c r="AE166" s="153"/>
    </row>
    <row r="167" spans="1:31" s="150" customFormat="1" ht="12">
      <c r="A167" s="157"/>
      <c r="B167" s="157"/>
      <c r="C167" s="151"/>
      <c r="D167" s="157"/>
      <c r="E167" s="157"/>
      <c r="F167" s="157"/>
      <c r="G167" s="157"/>
      <c r="H167" s="157"/>
      <c r="I167" s="157"/>
      <c r="J167" s="157"/>
      <c r="K167" s="154"/>
      <c r="L167" s="154"/>
      <c r="M167" s="151"/>
      <c r="N167" s="157"/>
      <c r="O167" s="157"/>
      <c r="P167" s="152"/>
      <c r="Q167" s="157"/>
      <c r="R167" s="152"/>
      <c r="S167" s="157"/>
      <c r="T167" s="152"/>
      <c r="U167" s="157"/>
      <c r="V167" s="151"/>
      <c r="W167" s="151"/>
      <c r="X167" s="155" t="str">
        <f t="shared" si="3"/>
        <v/>
      </c>
      <c r="Y167" s="152"/>
      <c r="Z167" s="158" t="str">
        <f>IF(ISERROR(VLOOKUP(Y167,'4 - SGs'!$A$4:$E$24,2)),"",VLOOKUP(Y167,'4 - SGs'!$A$4:$E$24,2))</f>
        <v/>
      </c>
      <c r="AA167" s="149"/>
      <c r="AB167" s="149"/>
      <c r="AC167" s="149"/>
      <c r="AD167" s="149"/>
      <c r="AE167" s="153"/>
    </row>
    <row r="168" spans="1:31" s="150" customFormat="1" ht="12">
      <c r="A168" s="157"/>
      <c r="B168" s="157"/>
      <c r="C168" s="151"/>
      <c r="D168" s="157"/>
      <c r="E168" s="157"/>
      <c r="F168" s="157"/>
      <c r="G168" s="157"/>
      <c r="H168" s="157"/>
      <c r="I168" s="157"/>
      <c r="J168" s="157"/>
      <c r="K168" s="154"/>
      <c r="L168" s="154"/>
      <c r="M168" s="151"/>
      <c r="N168" s="157"/>
      <c r="O168" s="157"/>
      <c r="P168" s="152"/>
      <c r="Q168" s="157"/>
      <c r="R168" s="152"/>
      <c r="S168" s="157"/>
      <c r="T168" s="152"/>
      <c r="U168" s="157"/>
      <c r="V168" s="151"/>
      <c r="W168" s="151"/>
      <c r="X168" s="155" t="str">
        <f t="shared" si="3"/>
        <v/>
      </c>
      <c r="Y168" s="152"/>
      <c r="Z168" s="158" t="str">
        <f>IF(ISERROR(VLOOKUP(Y168,'4 - SGs'!$A$4:$E$24,2)),"",VLOOKUP(Y168,'4 - SGs'!$A$4:$E$24,2))</f>
        <v/>
      </c>
      <c r="AA168" s="149"/>
      <c r="AB168" s="149"/>
      <c r="AC168" s="149"/>
      <c r="AD168" s="149"/>
      <c r="AE168" s="153"/>
    </row>
    <row r="169" spans="1:31" s="150" customFormat="1" ht="12">
      <c r="A169" s="157"/>
      <c r="B169" s="157"/>
      <c r="C169" s="151"/>
      <c r="D169" s="157"/>
      <c r="E169" s="157"/>
      <c r="F169" s="157"/>
      <c r="G169" s="157"/>
      <c r="H169" s="157"/>
      <c r="I169" s="157"/>
      <c r="J169" s="157"/>
      <c r="K169" s="154"/>
      <c r="L169" s="154"/>
      <c r="M169" s="151"/>
      <c r="N169" s="157"/>
      <c r="O169" s="157"/>
      <c r="P169" s="152"/>
      <c r="Q169" s="157"/>
      <c r="R169" s="152"/>
      <c r="S169" s="157"/>
      <c r="T169" s="152"/>
      <c r="U169" s="157"/>
      <c r="V169" s="151"/>
      <c r="W169" s="151"/>
      <c r="X169" s="155" t="str">
        <f t="shared" si="3"/>
        <v/>
      </c>
      <c r="Y169" s="152"/>
      <c r="Z169" s="158" t="str">
        <f>IF(ISERROR(VLOOKUP(Y169,'4 - SGs'!$A$4:$E$24,2)),"",VLOOKUP(Y169,'4 - SGs'!$A$4:$E$24,2))</f>
        <v/>
      </c>
      <c r="AA169" s="149"/>
      <c r="AB169" s="149"/>
      <c r="AC169" s="149"/>
      <c r="AD169" s="149"/>
      <c r="AE169" s="153"/>
    </row>
    <row r="170" spans="1:31" s="150" customFormat="1" ht="12">
      <c r="A170" s="157"/>
      <c r="B170" s="157"/>
      <c r="C170" s="151"/>
      <c r="D170" s="157"/>
      <c r="E170" s="157"/>
      <c r="F170" s="157"/>
      <c r="G170" s="157"/>
      <c r="H170" s="157"/>
      <c r="I170" s="157"/>
      <c r="J170" s="157"/>
      <c r="K170" s="154"/>
      <c r="L170" s="154"/>
      <c r="M170" s="151"/>
      <c r="N170" s="157"/>
      <c r="O170" s="157"/>
      <c r="P170" s="152"/>
      <c r="Q170" s="157"/>
      <c r="R170" s="152"/>
      <c r="S170" s="157"/>
      <c r="T170" s="152"/>
      <c r="U170" s="157"/>
      <c r="V170" s="151"/>
      <c r="W170" s="151"/>
      <c r="X170" s="155" t="str">
        <f t="shared" si="3"/>
        <v/>
      </c>
      <c r="Y170" s="152"/>
      <c r="Z170" s="158" t="str">
        <f>IF(ISERROR(VLOOKUP(Y170,'4 - SGs'!$A$4:$E$24,2)),"",VLOOKUP(Y170,'4 - SGs'!$A$4:$E$24,2))</f>
        <v/>
      </c>
      <c r="AA170" s="149"/>
      <c r="AB170" s="149"/>
      <c r="AC170" s="149"/>
      <c r="AD170" s="149"/>
      <c r="AE170" s="153"/>
    </row>
    <row r="171" spans="1:31" s="150" customFormat="1" ht="12">
      <c r="A171" s="157"/>
      <c r="B171" s="157"/>
      <c r="C171" s="151"/>
      <c r="D171" s="157"/>
      <c r="E171" s="157"/>
      <c r="F171" s="157"/>
      <c r="G171" s="157"/>
      <c r="H171" s="157"/>
      <c r="I171" s="157"/>
      <c r="J171" s="157"/>
      <c r="K171" s="154"/>
      <c r="L171" s="154"/>
      <c r="M171" s="151"/>
      <c r="N171" s="157"/>
      <c r="O171" s="157"/>
      <c r="P171" s="152"/>
      <c r="Q171" s="157"/>
      <c r="R171" s="152"/>
      <c r="S171" s="157"/>
      <c r="T171" s="152"/>
      <c r="U171" s="157"/>
      <c r="V171" s="151"/>
      <c r="W171" s="151"/>
      <c r="X171" s="155" t="str">
        <f t="shared" si="3"/>
        <v/>
      </c>
      <c r="Y171" s="152"/>
      <c r="Z171" s="158" t="str">
        <f>IF(ISERROR(VLOOKUP(Y171,'4 - SGs'!$A$4:$E$24,2)),"",VLOOKUP(Y171,'4 - SGs'!$A$4:$E$24,2))</f>
        <v/>
      </c>
      <c r="AA171" s="149"/>
      <c r="AB171" s="149"/>
      <c r="AC171" s="149"/>
      <c r="AD171" s="149"/>
      <c r="AE171" s="153"/>
    </row>
    <row r="172" spans="1:31" s="150" customFormat="1" ht="12">
      <c r="A172" s="157"/>
      <c r="B172" s="157"/>
      <c r="C172" s="151"/>
      <c r="D172" s="157"/>
      <c r="E172" s="157"/>
      <c r="F172" s="157"/>
      <c r="G172" s="157"/>
      <c r="H172" s="157"/>
      <c r="I172" s="157"/>
      <c r="J172" s="157"/>
      <c r="K172" s="154"/>
      <c r="L172" s="154"/>
      <c r="M172" s="151"/>
      <c r="N172" s="157"/>
      <c r="O172" s="157"/>
      <c r="P172" s="152"/>
      <c r="Q172" s="157"/>
      <c r="R172" s="152"/>
      <c r="S172" s="157"/>
      <c r="T172" s="152"/>
      <c r="U172" s="157"/>
      <c r="V172" s="151"/>
      <c r="W172" s="151"/>
      <c r="X172" s="155" t="str">
        <f t="shared" si="3"/>
        <v/>
      </c>
      <c r="Y172" s="152"/>
      <c r="Z172" s="158" t="str">
        <f>IF(ISERROR(VLOOKUP(Y172,'4 - SGs'!$A$4:$E$24,2)),"",VLOOKUP(Y172,'4 - SGs'!$A$4:$E$24,2))</f>
        <v/>
      </c>
      <c r="AA172" s="149"/>
      <c r="AB172" s="149"/>
      <c r="AC172" s="149"/>
      <c r="AD172" s="149"/>
      <c r="AE172" s="153"/>
    </row>
    <row r="173" spans="1:31" s="150" customFormat="1" ht="12">
      <c r="A173" s="157"/>
      <c r="B173" s="157"/>
      <c r="C173" s="151"/>
      <c r="D173" s="157"/>
      <c r="E173" s="157"/>
      <c r="F173" s="157"/>
      <c r="G173" s="157"/>
      <c r="H173" s="157"/>
      <c r="I173" s="157"/>
      <c r="J173" s="157"/>
      <c r="K173" s="154"/>
      <c r="L173" s="154"/>
      <c r="M173" s="151"/>
      <c r="N173" s="157"/>
      <c r="O173" s="157"/>
      <c r="P173" s="152"/>
      <c r="Q173" s="157"/>
      <c r="R173" s="152"/>
      <c r="S173" s="157"/>
      <c r="T173" s="152"/>
      <c r="U173" s="157"/>
      <c r="V173" s="151"/>
      <c r="W173" s="151"/>
      <c r="X173" s="155" t="str">
        <f t="shared" si="3"/>
        <v/>
      </c>
      <c r="Y173" s="152"/>
      <c r="Z173" s="158" t="str">
        <f>IF(ISERROR(VLOOKUP(Y173,'4 - SGs'!$A$4:$E$24,2)),"",VLOOKUP(Y173,'4 - SGs'!$A$4:$E$24,2))</f>
        <v/>
      </c>
      <c r="AA173" s="149"/>
      <c r="AB173" s="149"/>
      <c r="AC173" s="149"/>
      <c r="AD173" s="149"/>
      <c r="AE173" s="153"/>
    </row>
    <row r="174" spans="1:31" s="150" customFormat="1" ht="12">
      <c r="A174" s="157"/>
      <c r="B174" s="157"/>
      <c r="C174" s="151"/>
      <c r="D174" s="157"/>
      <c r="E174" s="157"/>
      <c r="F174" s="157"/>
      <c r="G174" s="157"/>
      <c r="H174" s="157"/>
      <c r="I174" s="157"/>
      <c r="J174" s="157"/>
      <c r="K174" s="154"/>
      <c r="L174" s="154"/>
      <c r="M174" s="151"/>
      <c r="N174" s="157"/>
      <c r="O174" s="157"/>
      <c r="P174" s="152"/>
      <c r="Q174" s="157"/>
      <c r="R174" s="152"/>
      <c r="S174" s="157"/>
      <c r="T174" s="152"/>
      <c r="U174" s="157"/>
      <c r="V174" s="151"/>
      <c r="W174" s="151"/>
      <c r="X174" s="155" t="str">
        <f t="shared" si="3"/>
        <v/>
      </c>
      <c r="Y174" s="152"/>
      <c r="Z174" s="158" t="str">
        <f>IF(ISERROR(VLOOKUP(Y174,'4 - SGs'!$A$4:$E$24,2)),"",VLOOKUP(Y174,'4 - SGs'!$A$4:$E$24,2))</f>
        <v/>
      </c>
      <c r="AA174" s="149"/>
      <c r="AB174" s="149"/>
      <c r="AC174" s="149"/>
      <c r="AD174" s="149"/>
      <c r="AE174" s="153"/>
    </row>
    <row r="175" spans="1:31" s="150" customFormat="1" ht="12">
      <c r="A175" s="157"/>
      <c r="B175" s="157"/>
      <c r="C175" s="151"/>
      <c r="D175" s="157"/>
      <c r="E175" s="157"/>
      <c r="F175" s="157"/>
      <c r="G175" s="157"/>
      <c r="H175" s="157"/>
      <c r="I175" s="157"/>
      <c r="J175" s="157"/>
      <c r="K175" s="154"/>
      <c r="L175" s="154"/>
      <c r="M175" s="151"/>
      <c r="N175" s="157"/>
      <c r="O175" s="157"/>
      <c r="P175" s="152"/>
      <c r="Q175" s="157"/>
      <c r="R175" s="152"/>
      <c r="S175" s="157"/>
      <c r="T175" s="152"/>
      <c r="U175" s="157"/>
      <c r="V175" s="151"/>
      <c r="W175" s="151"/>
      <c r="X175" s="155" t="str">
        <f t="shared" si="3"/>
        <v/>
      </c>
      <c r="Y175" s="152"/>
      <c r="Z175" s="158" t="str">
        <f>IF(ISERROR(VLOOKUP(Y175,'4 - SGs'!$A$4:$E$24,2)),"",VLOOKUP(Y175,'4 - SGs'!$A$4:$E$24,2))</f>
        <v/>
      </c>
      <c r="AA175" s="149"/>
      <c r="AB175" s="149"/>
      <c r="AC175" s="149"/>
      <c r="AD175" s="149"/>
      <c r="AE175" s="153"/>
    </row>
    <row r="176" spans="1:31" s="150" customFormat="1" ht="12">
      <c r="A176" s="157"/>
      <c r="B176" s="157"/>
      <c r="C176" s="151"/>
      <c r="D176" s="157"/>
      <c r="E176" s="157"/>
      <c r="F176" s="157"/>
      <c r="G176" s="157"/>
      <c r="H176" s="157"/>
      <c r="I176" s="157"/>
      <c r="J176" s="157"/>
      <c r="K176" s="154"/>
      <c r="L176" s="154"/>
      <c r="M176" s="151"/>
      <c r="N176" s="157"/>
      <c r="O176" s="157"/>
      <c r="P176" s="152"/>
      <c r="Q176" s="157"/>
      <c r="R176" s="152"/>
      <c r="S176" s="157"/>
      <c r="T176" s="152"/>
      <c r="U176" s="157"/>
      <c r="V176" s="151"/>
      <c r="W176" s="151"/>
      <c r="X176" s="155" t="str">
        <f t="shared" si="3"/>
        <v/>
      </c>
      <c r="Y176" s="152"/>
      <c r="Z176" s="158" t="str">
        <f>IF(ISERROR(VLOOKUP(Y176,'4 - SGs'!$A$4:$E$24,2)),"",VLOOKUP(Y176,'4 - SGs'!$A$4:$E$24,2))</f>
        <v/>
      </c>
      <c r="AA176" s="149"/>
      <c r="AB176" s="149"/>
      <c r="AC176" s="149"/>
      <c r="AD176" s="149"/>
      <c r="AE176" s="153"/>
    </row>
    <row r="177" spans="1:31" s="150" customFormat="1" ht="12">
      <c r="A177" s="157"/>
      <c r="B177" s="157"/>
      <c r="C177" s="151"/>
      <c r="D177" s="157"/>
      <c r="E177" s="157"/>
      <c r="F177" s="157"/>
      <c r="G177" s="157"/>
      <c r="H177" s="157"/>
      <c r="I177" s="157"/>
      <c r="J177" s="157"/>
      <c r="K177" s="154"/>
      <c r="L177" s="154"/>
      <c r="M177" s="151"/>
      <c r="N177" s="157"/>
      <c r="O177" s="157"/>
      <c r="P177" s="152"/>
      <c r="Q177" s="157"/>
      <c r="R177" s="152"/>
      <c r="S177" s="157"/>
      <c r="T177" s="152"/>
      <c r="U177" s="157"/>
      <c r="V177" s="151"/>
      <c r="W177" s="151"/>
      <c r="X177" s="155" t="str">
        <f t="shared" si="3"/>
        <v/>
      </c>
      <c r="Y177" s="152"/>
      <c r="Z177" s="158" t="str">
        <f>IF(ISERROR(VLOOKUP(Y177,'4 - SGs'!$A$4:$E$24,2)),"",VLOOKUP(Y177,'4 - SGs'!$A$4:$E$24,2))</f>
        <v/>
      </c>
      <c r="AA177" s="149"/>
      <c r="AB177" s="149"/>
      <c r="AC177" s="149"/>
      <c r="AD177" s="149"/>
      <c r="AE177" s="153"/>
    </row>
    <row r="178" spans="1:31" s="150" customFormat="1" ht="12">
      <c r="A178" s="157"/>
      <c r="B178" s="157"/>
      <c r="C178" s="151"/>
      <c r="D178" s="157"/>
      <c r="E178" s="157"/>
      <c r="F178" s="157"/>
      <c r="G178" s="157"/>
      <c r="H178" s="157"/>
      <c r="I178" s="157"/>
      <c r="J178" s="157"/>
      <c r="K178" s="154"/>
      <c r="L178" s="154"/>
      <c r="M178" s="151"/>
      <c r="N178" s="157"/>
      <c r="O178" s="157"/>
      <c r="P178" s="152"/>
      <c r="Q178" s="157"/>
      <c r="R178" s="152"/>
      <c r="S178" s="157"/>
      <c r="T178" s="152"/>
      <c r="U178" s="157"/>
      <c r="V178" s="151"/>
      <c r="W178" s="151"/>
      <c r="X178" s="155" t="str">
        <f t="shared" si="3"/>
        <v/>
      </c>
      <c r="Y178" s="152"/>
      <c r="Z178" s="158" t="str">
        <f>IF(ISERROR(VLOOKUP(Y178,'4 - SGs'!$A$4:$E$24,2)),"",VLOOKUP(Y178,'4 - SGs'!$A$4:$E$24,2))</f>
        <v/>
      </c>
      <c r="AA178" s="149"/>
      <c r="AB178" s="149"/>
      <c r="AC178" s="149"/>
      <c r="AD178" s="149"/>
      <c r="AE178" s="153"/>
    </row>
    <row r="179" spans="1:31" s="150" customFormat="1" ht="12">
      <c r="A179" s="157"/>
      <c r="B179" s="157"/>
      <c r="C179" s="151"/>
      <c r="D179" s="157"/>
      <c r="E179" s="157"/>
      <c r="F179" s="157"/>
      <c r="G179" s="157"/>
      <c r="H179" s="157"/>
      <c r="I179" s="157"/>
      <c r="J179" s="157"/>
      <c r="K179" s="154"/>
      <c r="L179" s="154"/>
      <c r="M179" s="151"/>
      <c r="N179" s="157"/>
      <c r="O179" s="157"/>
      <c r="P179" s="152"/>
      <c r="Q179" s="157"/>
      <c r="R179" s="152"/>
      <c r="S179" s="157"/>
      <c r="T179" s="152"/>
      <c r="U179" s="157"/>
      <c r="V179" s="151"/>
      <c r="W179" s="151"/>
      <c r="X179" s="155" t="str">
        <f t="shared" si="3"/>
        <v/>
      </c>
      <c r="Y179" s="152"/>
      <c r="Z179" s="158" t="str">
        <f>IF(ISERROR(VLOOKUP(Y179,'4 - SGs'!$A$4:$E$24,2)),"",VLOOKUP(Y179,'4 - SGs'!$A$4:$E$24,2))</f>
        <v/>
      </c>
      <c r="AA179" s="149"/>
      <c r="AB179" s="149"/>
      <c r="AC179" s="149"/>
      <c r="AD179" s="149"/>
      <c r="AE179" s="153"/>
    </row>
    <row r="180" spans="1:31" s="150" customFormat="1" ht="12">
      <c r="A180" s="157"/>
      <c r="B180" s="157"/>
      <c r="C180" s="151"/>
      <c r="D180" s="157"/>
      <c r="E180" s="157"/>
      <c r="F180" s="157"/>
      <c r="G180" s="157"/>
      <c r="H180" s="157"/>
      <c r="I180" s="157"/>
      <c r="J180" s="157"/>
      <c r="K180" s="154"/>
      <c r="L180" s="154"/>
      <c r="M180" s="151"/>
      <c r="N180" s="157"/>
      <c r="O180" s="157"/>
      <c r="P180" s="152"/>
      <c r="Q180" s="157"/>
      <c r="R180" s="152"/>
      <c r="S180" s="157"/>
      <c r="T180" s="152"/>
      <c r="U180" s="157"/>
      <c r="V180" s="151"/>
      <c r="W180" s="151"/>
      <c r="X180" s="155" t="str">
        <f t="shared" si="3"/>
        <v/>
      </c>
      <c r="Y180" s="152"/>
      <c r="Z180" s="158" t="str">
        <f>IF(ISERROR(VLOOKUP(Y180,'4 - SGs'!$A$4:$E$24,2)),"",VLOOKUP(Y180,'4 - SGs'!$A$4:$E$24,2))</f>
        <v/>
      </c>
      <c r="AA180" s="149"/>
      <c r="AB180" s="149"/>
      <c r="AC180" s="149"/>
      <c r="AD180" s="149"/>
      <c r="AE180" s="153"/>
    </row>
    <row r="181" spans="1:31" s="150" customFormat="1" ht="12">
      <c r="A181" s="157"/>
      <c r="B181" s="157"/>
      <c r="C181" s="151"/>
      <c r="D181" s="157"/>
      <c r="E181" s="157"/>
      <c r="F181" s="157"/>
      <c r="G181" s="157"/>
      <c r="H181" s="157"/>
      <c r="I181" s="157"/>
      <c r="J181" s="157"/>
      <c r="K181" s="154"/>
      <c r="L181" s="154"/>
      <c r="M181" s="151"/>
      <c r="N181" s="157"/>
      <c r="O181" s="157"/>
      <c r="P181" s="152"/>
      <c r="Q181" s="157"/>
      <c r="R181" s="152"/>
      <c r="S181" s="157"/>
      <c r="T181" s="152"/>
      <c r="U181" s="157"/>
      <c r="V181" s="151"/>
      <c r="W181" s="151"/>
      <c r="X181" s="155" t="str">
        <f t="shared" si="3"/>
        <v/>
      </c>
      <c r="Y181" s="152"/>
      <c r="Z181" s="158" t="str">
        <f>IF(ISERROR(VLOOKUP(Y181,'4 - SGs'!$A$4:$E$24,2)),"",VLOOKUP(Y181,'4 - SGs'!$A$4:$E$24,2))</f>
        <v/>
      </c>
      <c r="AA181" s="149"/>
      <c r="AB181" s="149"/>
      <c r="AC181" s="149"/>
      <c r="AD181" s="149"/>
      <c r="AE181" s="153"/>
    </row>
    <row r="182" spans="1:31" s="150" customFormat="1" ht="12">
      <c r="A182" s="157"/>
      <c r="B182" s="157"/>
      <c r="C182" s="151"/>
      <c r="D182" s="157"/>
      <c r="E182" s="157"/>
      <c r="F182" s="157"/>
      <c r="G182" s="157"/>
      <c r="H182" s="157"/>
      <c r="I182" s="157"/>
      <c r="J182" s="157"/>
      <c r="K182" s="154"/>
      <c r="L182" s="154"/>
      <c r="M182" s="151"/>
      <c r="N182" s="157"/>
      <c r="O182" s="157"/>
      <c r="P182" s="152"/>
      <c r="Q182" s="157"/>
      <c r="R182" s="152"/>
      <c r="S182" s="157"/>
      <c r="T182" s="152"/>
      <c r="U182" s="157"/>
      <c r="V182" s="151"/>
      <c r="W182" s="151"/>
      <c r="X182" s="155" t="str">
        <f t="shared" si="3"/>
        <v/>
      </c>
      <c r="Y182" s="152"/>
      <c r="Z182" s="158" t="str">
        <f>IF(ISERROR(VLOOKUP(Y182,'4 - SGs'!$A$4:$E$24,2)),"",VLOOKUP(Y182,'4 - SGs'!$A$4:$E$24,2))</f>
        <v/>
      </c>
      <c r="AA182" s="149"/>
      <c r="AB182" s="149"/>
      <c r="AC182" s="149"/>
      <c r="AD182" s="149"/>
      <c r="AE182" s="153"/>
    </row>
    <row r="183" spans="1:31" s="150" customFormat="1" ht="12">
      <c r="A183" s="157"/>
      <c r="B183" s="157"/>
      <c r="C183" s="151"/>
      <c r="D183" s="157"/>
      <c r="E183" s="157"/>
      <c r="F183" s="157"/>
      <c r="G183" s="157"/>
      <c r="H183" s="157"/>
      <c r="I183" s="157"/>
      <c r="J183" s="157"/>
      <c r="K183" s="154"/>
      <c r="L183" s="154"/>
      <c r="M183" s="151"/>
      <c r="N183" s="157"/>
      <c r="O183" s="157"/>
      <c r="P183" s="152"/>
      <c r="Q183" s="157"/>
      <c r="R183" s="152"/>
      <c r="S183" s="157"/>
      <c r="T183" s="152"/>
      <c r="U183" s="157"/>
      <c r="V183" s="151"/>
      <c r="W183" s="151"/>
      <c r="X183" s="155" t="str">
        <f t="shared" si="3"/>
        <v/>
      </c>
      <c r="Y183" s="152"/>
      <c r="Z183" s="158" t="str">
        <f>IF(ISERROR(VLOOKUP(Y183,'4 - SGs'!$A$4:$E$24,2)),"",VLOOKUP(Y183,'4 - SGs'!$A$4:$E$24,2))</f>
        <v/>
      </c>
      <c r="AA183" s="149"/>
      <c r="AB183" s="149"/>
      <c r="AC183" s="149"/>
      <c r="AD183" s="149"/>
      <c r="AE183" s="153"/>
    </row>
    <row r="184" spans="1:31" s="150" customFormat="1" ht="12">
      <c r="A184" s="157"/>
      <c r="B184" s="157"/>
      <c r="C184" s="151"/>
      <c r="D184" s="157"/>
      <c r="E184" s="157"/>
      <c r="F184" s="157"/>
      <c r="G184" s="157"/>
      <c r="H184" s="157"/>
      <c r="I184" s="157"/>
      <c r="J184" s="157"/>
      <c r="K184" s="154"/>
      <c r="L184" s="154"/>
      <c r="M184" s="151"/>
      <c r="N184" s="157"/>
      <c r="O184" s="157"/>
      <c r="P184" s="152"/>
      <c r="Q184" s="157"/>
      <c r="R184" s="152"/>
      <c r="S184" s="157"/>
      <c r="T184" s="152"/>
      <c r="U184" s="157"/>
      <c r="V184" s="151"/>
      <c r="W184" s="151"/>
      <c r="X184" s="155" t="str">
        <f t="shared" si="3"/>
        <v/>
      </c>
      <c r="Y184" s="152"/>
      <c r="Z184" s="158" t="str">
        <f>IF(ISERROR(VLOOKUP(Y184,'4 - SGs'!$A$4:$E$24,2)),"",VLOOKUP(Y184,'4 - SGs'!$A$4:$E$24,2))</f>
        <v/>
      </c>
      <c r="AA184" s="149"/>
      <c r="AB184" s="149"/>
      <c r="AC184" s="149"/>
      <c r="AD184" s="149"/>
      <c r="AE184" s="153"/>
    </row>
    <row r="185" spans="1:31" s="150" customFormat="1" ht="12">
      <c r="A185" s="157"/>
      <c r="B185" s="157"/>
      <c r="C185" s="151"/>
      <c r="D185" s="157"/>
      <c r="E185" s="157"/>
      <c r="F185" s="157"/>
      <c r="G185" s="157"/>
      <c r="H185" s="157"/>
      <c r="I185" s="157"/>
      <c r="J185" s="157"/>
      <c r="K185" s="154"/>
      <c r="L185" s="154"/>
      <c r="M185" s="151"/>
      <c r="N185" s="157"/>
      <c r="O185" s="157"/>
      <c r="P185" s="152"/>
      <c r="Q185" s="157"/>
      <c r="R185" s="152"/>
      <c r="S185" s="157"/>
      <c r="T185" s="152"/>
      <c r="U185" s="157"/>
      <c r="V185" s="151"/>
      <c r="W185" s="151"/>
      <c r="X185" s="155" t="str">
        <f t="shared" si="3"/>
        <v/>
      </c>
      <c r="Y185" s="152"/>
      <c r="Z185" s="158" t="str">
        <f>IF(ISERROR(VLOOKUP(Y185,'4 - SGs'!$A$4:$E$24,2)),"",VLOOKUP(Y185,'4 - SGs'!$A$4:$E$24,2))</f>
        <v/>
      </c>
      <c r="AA185" s="149"/>
      <c r="AB185" s="149"/>
      <c r="AC185" s="149"/>
      <c r="AD185" s="149"/>
      <c r="AE185" s="153"/>
    </row>
    <row r="186" spans="1:31" s="150" customFormat="1" ht="12">
      <c r="A186" s="157"/>
      <c r="B186" s="157"/>
      <c r="C186" s="151"/>
      <c r="D186" s="157"/>
      <c r="E186" s="157"/>
      <c r="F186" s="157"/>
      <c r="G186" s="157"/>
      <c r="H186" s="157"/>
      <c r="I186" s="157"/>
      <c r="J186" s="157"/>
      <c r="K186" s="154"/>
      <c r="L186" s="154"/>
      <c r="M186" s="151"/>
      <c r="N186" s="157"/>
      <c r="O186" s="157"/>
      <c r="P186" s="152"/>
      <c r="Q186" s="157"/>
      <c r="R186" s="152"/>
      <c r="S186" s="157"/>
      <c r="T186" s="152"/>
      <c r="U186" s="157"/>
      <c r="V186" s="151"/>
      <c r="W186" s="151"/>
      <c r="X186" s="155" t="str">
        <f t="shared" si="3"/>
        <v/>
      </c>
      <c r="Y186" s="152"/>
      <c r="Z186" s="158" t="str">
        <f>IF(ISERROR(VLOOKUP(Y186,'4 - SGs'!$A$4:$E$24,2)),"",VLOOKUP(Y186,'4 - SGs'!$A$4:$E$24,2))</f>
        <v/>
      </c>
      <c r="AA186" s="149"/>
      <c r="AB186" s="149"/>
      <c r="AC186" s="149"/>
      <c r="AD186" s="149"/>
      <c r="AE186" s="153"/>
    </row>
    <row r="187" spans="1:31" s="150" customFormat="1" ht="12">
      <c r="A187" s="157"/>
      <c r="B187" s="157"/>
      <c r="C187" s="151"/>
      <c r="D187" s="157"/>
      <c r="E187" s="157"/>
      <c r="F187" s="157"/>
      <c r="G187" s="157"/>
      <c r="H187" s="157"/>
      <c r="I187" s="157"/>
      <c r="J187" s="157"/>
      <c r="K187" s="154"/>
      <c r="L187" s="154"/>
      <c r="M187" s="151"/>
      <c r="N187" s="157"/>
      <c r="O187" s="157"/>
      <c r="P187" s="152"/>
      <c r="Q187" s="157"/>
      <c r="R187" s="152"/>
      <c r="S187" s="157"/>
      <c r="T187" s="152"/>
      <c r="U187" s="157"/>
      <c r="V187" s="151"/>
      <c r="W187" s="151"/>
      <c r="X187" s="155" t="str">
        <f t="shared" si="3"/>
        <v/>
      </c>
      <c r="Y187" s="152"/>
      <c r="Z187" s="158" t="str">
        <f>IF(ISERROR(VLOOKUP(Y187,'4 - SGs'!$A$4:$E$24,2)),"",VLOOKUP(Y187,'4 - SGs'!$A$4:$E$24,2))</f>
        <v/>
      </c>
      <c r="AA187" s="149"/>
      <c r="AB187" s="149"/>
      <c r="AC187" s="149"/>
      <c r="AD187" s="149"/>
      <c r="AE187" s="153"/>
    </row>
    <row r="188" spans="1:31" s="150" customFormat="1" ht="12">
      <c r="A188" s="157"/>
      <c r="B188" s="157"/>
      <c r="C188" s="151"/>
      <c r="D188" s="157"/>
      <c r="E188" s="157"/>
      <c r="F188" s="157"/>
      <c r="G188" s="157"/>
      <c r="H188" s="157"/>
      <c r="I188" s="157"/>
      <c r="J188" s="157"/>
      <c r="K188" s="154"/>
      <c r="L188" s="154"/>
      <c r="M188" s="151"/>
      <c r="N188" s="157"/>
      <c r="O188" s="157"/>
      <c r="P188" s="152"/>
      <c r="Q188" s="157"/>
      <c r="R188" s="152"/>
      <c r="S188" s="157"/>
      <c r="T188" s="152"/>
      <c r="U188" s="157"/>
      <c r="V188" s="151"/>
      <c r="W188" s="151"/>
      <c r="X188" s="155" t="str">
        <f t="shared" si="3"/>
        <v/>
      </c>
      <c r="Y188" s="152"/>
      <c r="Z188" s="158" t="str">
        <f>IF(ISERROR(VLOOKUP(Y188,'4 - SGs'!$A$4:$E$24,2)),"",VLOOKUP(Y188,'4 - SGs'!$A$4:$E$24,2))</f>
        <v/>
      </c>
      <c r="AA188" s="149"/>
      <c r="AB188" s="149"/>
      <c r="AC188" s="149"/>
      <c r="AD188" s="149"/>
      <c r="AE188" s="153"/>
    </row>
    <row r="189" spans="1:31" s="150" customFormat="1" ht="12">
      <c r="A189" s="157"/>
      <c r="B189" s="157"/>
      <c r="C189" s="151"/>
      <c r="D189" s="157"/>
      <c r="E189" s="157"/>
      <c r="F189" s="157"/>
      <c r="G189" s="157"/>
      <c r="H189" s="157"/>
      <c r="I189" s="157"/>
      <c r="J189" s="157"/>
      <c r="K189" s="154"/>
      <c r="L189" s="154"/>
      <c r="M189" s="151"/>
      <c r="N189" s="157"/>
      <c r="O189" s="157"/>
      <c r="P189" s="152"/>
      <c r="Q189" s="157"/>
      <c r="R189" s="152"/>
      <c r="S189" s="157"/>
      <c r="T189" s="152"/>
      <c r="U189" s="157"/>
      <c r="V189" s="151"/>
      <c r="W189" s="151"/>
      <c r="X189" s="155" t="str">
        <f t="shared" si="3"/>
        <v/>
      </c>
      <c r="Y189" s="152"/>
      <c r="Z189" s="158" t="str">
        <f>IF(ISERROR(VLOOKUP(Y189,'4 - SGs'!$A$4:$E$24,2)),"",VLOOKUP(Y189,'4 - SGs'!$A$4:$E$24,2))</f>
        <v/>
      </c>
      <c r="AA189" s="149"/>
      <c r="AB189" s="149"/>
      <c r="AC189" s="149"/>
      <c r="AD189" s="149"/>
      <c r="AE189" s="153"/>
    </row>
    <row r="190" spans="1:31" s="150" customFormat="1" ht="12">
      <c r="A190" s="157"/>
      <c r="B190" s="157"/>
      <c r="C190" s="151"/>
      <c r="D190" s="157"/>
      <c r="E190" s="157"/>
      <c r="F190" s="157"/>
      <c r="G190" s="157"/>
      <c r="H190" s="157"/>
      <c r="I190" s="157"/>
      <c r="J190" s="157"/>
      <c r="K190" s="154"/>
      <c r="L190" s="154"/>
      <c r="M190" s="151"/>
      <c r="N190" s="157"/>
      <c r="O190" s="157"/>
      <c r="P190" s="152"/>
      <c r="Q190" s="157"/>
      <c r="R190" s="152"/>
      <c r="S190" s="157"/>
      <c r="T190" s="152"/>
      <c r="U190" s="157"/>
      <c r="V190" s="151"/>
      <c r="W190" s="151"/>
      <c r="X190" s="155" t="str">
        <f t="shared" si="3"/>
        <v/>
      </c>
      <c r="Y190" s="152"/>
      <c r="Z190" s="158" t="str">
        <f>IF(ISERROR(VLOOKUP(Y190,'4 - SGs'!$A$4:$E$24,2)),"",VLOOKUP(Y190,'4 - SGs'!$A$4:$E$24,2))</f>
        <v/>
      </c>
      <c r="AA190" s="149"/>
      <c r="AB190" s="149"/>
      <c r="AC190" s="149"/>
      <c r="AD190" s="149"/>
      <c r="AE190" s="153"/>
    </row>
    <row r="191" spans="1:31" s="150" customFormat="1" ht="12">
      <c r="A191" s="157"/>
      <c r="B191" s="157"/>
      <c r="C191" s="151"/>
      <c r="D191" s="157"/>
      <c r="E191" s="157"/>
      <c r="F191" s="157"/>
      <c r="G191" s="157"/>
      <c r="H191" s="157"/>
      <c r="I191" s="157"/>
      <c r="J191" s="157"/>
      <c r="K191" s="154"/>
      <c r="L191" s="154"/>
      <c r="M191" s="151"/>
      <c r="N191" s="157"/>
      <c r="O191" s="157"/>
      <c r="P191" s="152"/>
      <c r="Q191" s="157"/>
      <c r="R191" s="152"/>
      <c r="S191" s="157"/>
      <c r="T191" s="152"/>
      <c r="U191" s="157"/>
      <c r="V191" s="151"/>
      <c r="W191" s="151"/>
      <c r="X191" s="155" t="str">
        <f t="shared" si="3"/>
        <v/>
      </c>
      <c r="Y191" s="152"/>
      <c r="Z191" s="158" t="str">
        <f>IF(ISERROR(VLOOKUP(Y191,'4 - SGs'!$A$4:$E$24,2)),"",VLOOKUP(Y191,'4 - SGs'!$A$4:$E$24,2))</f>
        <v/>
      </c>
      <c r="AA191" s="149"/>
      <c r="AB191" s="149"/>
      <c r="AC191" s="149"/>
      <c r="AD191" s="149"/>
      <c r="AE191" s="153"/>
    </row>
    <row r="192" spans="1:31" s="150" customFormat="1" ht="12">
      <c r="A192" s="157"/>
      <c r="B192" s="157"/>
      <c r="C192" s="151"/>
      <c r="D192" s="157"/>
      <c r="E192" s="157"/>
      <c r="F192" s="157"/>
      <c r="G192" s="157"/>
      <c r="H192" s="157"/>
      <c r="I192" s="157"/>
      <c r="J192" s="157"/>
      <c r="K192" s="154"/>
      <c r="L192" s="154"/>
      <c r="M192" s="151"/>
      <c r="N192" s="157"/>
      <c r="O192" s="157"/>
      <c r="P192" s="152"/>
      <c r="Q192" s="157"/>
      <c r="R192" s="152"/>
      <c r="S192" s="157"/>
      <c r="T192" s="152"/>
      <c r="U192" s="157"/>
      <c r="V192" s="151"/>
      <c r="W192" s="151"/>
      <c r="X192" s="155" t="str">
        <f t="shared" si="3"/>
        <v/>
      </c>
      <c r="Y192" s="152"/>
      <c r="Z192" s="158" t="str">
        <f>IF(ISERROR(VLOOKUP(Y192,'4 - SGs'!$A$4:$E$24,2)),"",VLOOKUP(Y192,'4 - SGs'!$A$4:$E$24,2))</f>
        <v/>
      </c>
      <c r="AA192" s="149"/>
      <c r="AB192" s="149"/>
      <c r="AC192" s="149"/>
      <c r="AD192" s="149"/>
      <c r="AE192" s="153"/>
    </row>
    <row r="193" spans="1:31" s="150" customFormat="1" ht="12">
      <c r="A193" s="157"/>
      <c r="B193" s="157"/>
      <c r="C193" s="151"/>
      <c r="D193" s="157"/>
      <c r="E193" s="157"/>
      <c r="F193" s="157"/>
      <c r="G193" s="157"/>
      <c r="H193" s="157"/>
      <c r="I193" s="157"/>
      <c r="J193" s="157"/>
      <c r="K193" s="154"/>
      <c r="L193" s="154"/>
      <c r="M193" s="151"/>
      <c r="N193" s="157"/>
      <c r="O193" s="157"/>
      <c r="P193" s="152"/>
      <c r="Q193" s="157"/>
      <c r="R193" s="152"/>
      <c r="S193" s="157"/>
      <c r="T193" s="152"/>
      <c r="U193" s="157"/>
      <c r="V193" s="151"/>
      <c r="W193" s="151"/>
      <c r="X193" s="155" t="str">
        <f t="shared" ref="X193:X256" si="4">IF(AND(ISBLANK(S_Wert),ISBLANK(E_Wert),ISBLANK(C_Wert)),"",IF(OR(S_Wert="S0",C_Wert="C0"),"",IF(E_Wert="E0","QM",IF(AND(S_Wert="-",E_Wert="-",C_Wert="-"),"?",VLOOKUP(S_Wert&amp;E_Wert,ASIL_Tabelle,MATCH(C_Wert,Controllability,0)+1,FALSE)))))</f>
        <v/>
      </c>
      <c r="Y193" s="152"/>
      <c r="Z193" s="158" t="str">
        <f>IF(ISERROR(VLOOKUP(Y193,'4 - SGs'!$A$4:$E$24,2)),"",VLOOKUP(Y193,'4 - SGs'!$A$4:$E$24,2))</f>
        <v/>
      </c>
      <c r="AA193" s="149"/>
      <c r="AB193" s="149"/>
      <c r="AC193" s="149"/>
      <c r="AD193" s="149"/>
      <c r="AE193" s="153"/>
    </row>
    <row r="194" spans="1:31" s="150" customFormat="1" ht="12">
      <c r="A194" s="157"/>
      <c r="B194" s="157"/>
      <c r="C194" s="151"/>
      <c r="D194" s="157"/>
      <c r="E194" s="157"/>
      <c r="F194" s="157"/>
      <c r="G194" s="157"/>
      <c r="H194" s="157"/>
      <c r="I194" s="157"/>
      <c r="J194" s="157"/>
      <c r="K194" s="154"/>
      <c r="L194" s="154"/>
      <c r="M194" s="151"/>
      <c r="N194" s="157"/>
      <c r="O194" s="157"/>
      <c r="P194" s="152"/>
      <c r="Q194" s="157"/>
      <c r="R194" s="152"/>
      <c r="S194" s="157"/>
      <c r="T194" s="152"/>
      <c r="U194" s="157"/>
      <c r="V194" s="151"/>
      <c r="W194" s="151"/>
      <c r="X194" s="155" t="str">
        <f t="shared" si="4"/>
        <v/>
      </c>
      <c r="Y194" s="152"/>
      <c r="Z194" s="158" t="str">
        <f>IF(ISERROR(VLOOKUP(Y194,'4 - SGs'!$A$4:$E$24,2)),"",VLOOKUP(Y194,'4 - SGs'!$A$4:$E$24,2))</f>
        <v/>
      </c>
      <c r="AA194" s="149"/>
      <c r="AB194" s="149"/>
      <c r="AC194" s="149"/>
      <c r="AD194" s="149"/>
      <c r="AE194" s="153"/>
    </row>
    <row r="195" spans="1:31" s="150" customFormat="1" ht="12">
      <c r="A195" s="157"/>
      <c r="B195" s="157"/>
      <c r="C195" s="151"/>
      <c r="D195" s="157"/>
      <c r="E195" s="157"/>
      <c r="F195" s="157"/>
      <c r="G195" s="157"/>
      <c r="H195" s="157"/>
      <c r="I195" s="157"/>
      <c r="J195" s="157"/>
      <c r="K195" s="154"/>
      <c r="L195" s="154"/>
      <c r="M195" s="151"/>
      <c r="N195" s="157"/>
      <c r="O195" s="157"/>
      <c r="P195" s="152"/>
      <c r="Q195" s="157"/>
      <c r="R195" s="152"/>
      <c r="S195" s="157"/>
      <c r="T195" s="152"/>
      <c r="U195" s="157"/>
      <c r="V195" s="151"/>
      <c r="W195" s="151"/>
      <c r="X195" s="155" t="str">
        <f t="shared" si="4"/>
        <v/>
      </c>
      <c r="Y195" s="152"/>
      <c r="Z195" s="158" t="str">
        <f>IF(ISERROR(VLOOKUP(Y195,'4 - SGs'!$A$4:$E$24,2)),"",VLOOKUP(Y195,'4 - SGs'!$A$4:$E$24,2))</f>
        <v/>
      </c>
      <c r="AA195" s="149"/>
      <c r="AB195" s="149"/>
      <c r="AC195" s="149"/>
      <c r="AD195" s="149"/>
      <c r="AE195" s="153"/>
    </row>
    <row r="196" spans="1:31" s="150" customFormat="1" ht="12">
      <c r="A196" s="157"/>
      <c r="B196" s="157"/>
      <c r="C196" s="151"/>
      <c r="D196" s="157"/>
      <c r="E196" s="157"/>
      <c r="F196" s="157"/>
      <c r="G196" s="157"/>
      <c r="H196" s="157"/>
      <c r="I196" s="157"/>
      <c r="J196" s="157"/>
      <c r="K196" s="154"/>
      <c r="L196" s="154"/>
      <c r="M196" s="151"/>
      <c r="N196" s="157"/>
      <c r="O196" s="157"/>
      <c r="P196" s="152"/>
      <c r="Q196" s="157"/>
      <c r="R196" s="152"/>
      <c r="S196" s="157"/>
      <c r="T196" s="152"/>
      <c r="U196" s="157"/>
      <c r="V196" s="151"/>
      <c r="W196" s="151"/>
      <c r="X196" s="155" t="str">
        <f t="shared" si="4"/>
        <v/>
      </c>
      <c r="Y196" s="152"/>
      <c r="Z196" s="158" t="str">
        <f>IF(ISERROR(VLOOKUP(Y196,'4 - SGs'!$A$4:$E$24,2)),"",VLOOKUP(Y196,'4 - SGs'!$A$4:$E$24,2))</f>
        <v/>
      </c>
      <c r="AA196" s="149"/>
      <c r="AB196" s="149"/>
      <c r="AC196" s="149"/>
      <c r="AD196" s="149"/>
      <c r="AE196" s="153"/>
    </row>
    <row r="197" spans="1:31" s="150" customFormat="1" ht="12">
      <c r="C197" s="151"/>
      <c r="K197" s="154"/>
      <c r="L197" s="154"/>
      <c r="M197" s="151"/>
      <c r="P197" s="152"/>
      <c r="Q197" s="157"/>
      <c r="R197" s="152"/>
      <c r="S197" s="157"/>
      <c r="T197" s="152"/>
      <c r="U197" s="157"/>
      <c r="V197" s="151"/>
      <c r="W197" s="151"/>
      <c r="X197" s="155" t="str">
        <f t="shared" si="4"/>
        <v/>
      </c>
      <c r="Y197" s="152"/>
      <c r="Z197" s="158" t="str">
        <f>IF(ISERROR(VLOOKUP(Y197,'4 - SGs'!$A$4:$E$24,2)),"",VLOOKUP(Y197,'4 - SGs'!$A$4:$E$24,2))</f>
        <v/>
      </c>
      <c r="AA197" s="149"/>
      <c r="AB197" s="149"/>
      <c r="AC197" s="149"/>
      <c r="AD197" s="149"/>
      <c r="AE197" s="153"/>
    </row>
    <row r="198" spans="1:31" s="150" customFormat="1" ht="12">
      <c r="K198" s="154"/>
      <c r="L198" s="154"/>
      <c r="M198" s="151"/>
      <c r="P198" s="152"/>
      <c r="Q198" s="157"/>
      <c r="R198" s="152"/>
      <c r="S198" s="157"/>
      <c r="T198" s="152"/>
      <c r="U198" s="157"/>
      <c r="V198" s="151"/>
      <c r="W198" s="151"/>
      <c r="X198" s="155" t="str">
        <f t="shared" si="4"/>
        <v/>
      </c>
      <c r="Y198" s="152"/>
      <c r="Z198" s="158" t="str">
        <f>IF(ISERROR(VLOOKUP(Y198,'4 - SGs'!$A$4:$E$24,2)),"",VLOOKUP(Y198,'4 - SGs'!$A$4:$E$24,2))</f>
        <v/>
      </c>
      <c r="AA198" s="149"/>
      <c r="AB198" s="149"/>
      <c r="AC198" s="149"/>
      <c r="AD198" s="149"/>
      <c r="AE198" s="153"/>
    </row>
    <row r="199" spans="1:31" s="150" customFormat="1" ht="12">
      <c r="K199" s="154"/>
      <c r="L199" s="154"/>
      <c r="M199" s="151"/>
      <c r="P199" s="152"/>
      <c r="Q199" s="157"/>
      <c r="R199" s="152"/>
      <c r="S199" s="157"/>
      <c r="T199" s="152"/>
      <c r="U199" s="157"/>
      <c r="V199" s="151"/>
      <c r="W199" s="151"/>
      <c r="X199" s="155" t="str">
        <f t="shared" si="4"/>
        <v/>
      </c>
      <c r="Y199" s="152"/>
      <c r="Z199" s="158" t="str">
        <f>IF(ISERROR(VLOOKUP(Y199,'4 - SGs'!$A$4:$E$24,2)),"",VLOOKUP(Y199,'4 - SGs'!$A$4:$E$24,2))</f>
        <v/>
      </c>
      <c r="AA199" s="149"/>
      <c r="AB199" s="149"/>
      <c r="AC199" s="149"/>
      <c r="AD199" s="149"/>
      <c r="AE199" s="153"/>
    </row>
    <row r="200" spans="1:31" s="150" customFormat="1" ht="12">
      <c r="K200" s="154"/>
      <c r="L200" s="154"/>
      <c r="M200" s="151"/>
      <c r="P200" s="152"/>
      <c r="Q200" s="157"/>
      <c r="R200" s="152"/>
      <c r="S200" s="157"/>
      <c r="T200" s="152"/>
      <c r="U200" s="157"/>
      <c r="V200" s="151"/>
      <c r="W200" s="151"/>
      <c r="X200" s="155" t="str">
        <f t="shared" si="4"/>
        <v/>
      </c>
      <c r="Y200" s="152"/>
      <c r="Z200" s="158" t="str">
        <f>IF(ISERROR(VLOOKUP(Y200,'4 - SGs'!$A$4:$E$24,2)),"",VLOOKUP(Y200,'4 - SGs'!$A$4:$E$24,2))</f>
        <v/>
      </c>
      <c r="AA200" s="149"/>
      <c r="AB200" s="149"/>
      <c r="AC200" s="149"/>
      <c r="AD200" s="149"/>
      <c r="AE200" s="153"/>
    </row>
    <row r="201" spans="1:31" s="150" customFormat="1" ht="12">
      <c r="K201" s="154"/>
      <c r="L201" s="154"/>
      <c r="M201" s="151"/>
      <c r="P201" s="152"/>
      <c r="Q201" s="157"/>
      <c r="R201" s="152"/>
      <c r="S201" s="157"/>
      <c r="T201" s="152"/>
      <c r="U201" s="157"/>
      <c r="V201" s="151"/>
      <c r="W201" s="151"/>
      <c r="X201" s="155" t="str">
        <f t="shared" si="4"/>
        <v/>
      </c>
      <c r="Y201" s="152"/>
      <c r="Z201" s="158" t="str">
        <f>IF(ISERROR(VLOOKUP(Y201,'4 - SGs'!$A$4:$E$24,2)),"",VLOOKUP(Y201,'4 - SGs'!$A$4:$E$24,2))</f>
        <v/>
      </c>
      <c r="AA201" s="149"/>
      <c r="AB201" s="149"/>
      <c r="AC201" s="149"/>
      <c r="AD201" s="149"/>
      <c r="AE201" s="153"/>
    </row>
    <row r="202" spans="1:31" s="150" customFormat="1" ht="12">
      <c r="K202" s="154"/>
      <c r="L202" s="154"/>
      <c r="M202" s="151"/>
      <c r="P202" s="152"/>
      <c r="Q202" s="157"/>
      <c r="R202" s="152"/>
      <c r="S202" s="157"/>
      <c r="T202" s="152"/>
      <c r="U202" s="157"/>
      <c r="V202" s="151"/>
      <c r="W202" s="151"/>
      <c r="X202" s="155" t="str">
        <f t="shared" si="4"/>
        <v/>
      </c>
      <c r="Y202" s="152"/>
      <c r="Z202" s="158" t="str">
        <f>IF(ISERROR(VLOOKUP(Y202,'4 - SGs'!$A$4:$E$24,2)),"",VLOOKUP(Y202,'4 - SGs'!$A$4:$E$24,2))</f>
        <v/>
      </c>
      <c r="AA202" s="149"/>
      <c r="AB202" s="149"/>
      <c r="AC202" s="149"/>
      <c r="AD202" s="149"/>
      <c r="AE202" s="153"/>
    </row>
    <row r="203" spans="1:31" s="150" customFormat="1" ht="12">
      <c r="K203" s="154"/>
      <c r="L203" s="154"/>
      <c r="M203" s="151"/>
      <c r="P203" s="152"/>
      <c r="Q203" s="157"/>
      <c r="R203" s="152"/>
      <c r="S203" s="157"/>
      <c r="T203" s="152"/>
      <c r="U203" s="157"/>
      <c r="V203" s="151"/>
      <c r="W203" s="151"/>
      <c r="X203" s="155" t="str">
        <f t="shared" si="4"/>
        <v/>
      </c>
      <c r="Y203" s="152"/>
      <c r="Z203" s="158" t="str">
        <f>IF(ISERROR(VLOOKUP(Y203,'4 - SGs'!$A$4:$E$24,2)),"",VLOOKUP(Y203,'4 - SGs'!$A$4:$E$24,2))</f>
        <v/>
      </c>
      <c r="AA203" s="149"/>
      <c r="AB203" s="149"/>
      <c r="AC203" s="149"/>
      <c r="AD203" s="149"/>
      <c r="AE203" s="153"/>
    </row>
    <row r="204" spans="1:31" s="150" customFormat="1" ht="12">
      <c r="K204" s="154"/>
      <c r="L204" s="154"/>
      <c r="M204" s="151"/>
      <c r="P204" s="152"/>
      <c r="Q204" s="157"/>
      <c r="R204" s="152"/>
      <c r="S204" s="157"/>
      <c r="T204" s="152"/>
      <c r="U204" s="157"/>
      <c r="V204" s="151"/>
      <c r="W204" s="151"/>
      <c r="X204" s="155" t="str">
        <f t="shared" si="4"/>
        <v/>
      </c>
      <c r="Y204" s="152"/>
      <c r="Z204" s="158" t="str">
        <f>IF(ISERROR(VLOOKUP(Y204,'4 - SGs'!$A$4:$E$24,2)),"",VLOOKUP(Y204,'4 - SGs'!$A$4:$E$24,2))</f>
        <v/>
      </c>
      <c r="AA204" s="149"/>
      <c r="AB204" s="149"/>
      <c r="AC204" s="149"/>
      <c r="AD204" s="149"/>
      <c r="AE204" s="153"/>
    </row>
    <row r="205" spans="1:31" s="150" customFormat="1" ht="12">
      <c r="K205" s="154"/>
      <c r="L205" s="154"/>
      <c r="M205" s="151"/>
      <c r="P205" s="152"/>
      <c r="Q205" s="157"/>
      <c r="R205" s="152"/>
      <c r="S205" s="157"/>
      <c r="T205" s="152"/>
      <c r="U205" s="157"/>
      <c r="V205" s="151"/>
      <c r="W205" s="151"/>
      <c r="X205" s="155" t="str">
        <f t="shared" si="4"/>
        <v/>
      </c>
      <c r="Y205" s="152"/>
      <c r="Z205" s="158" t="str">
        <f>IF(ISERROR(VLOOKUP(Y205,'4 - SGs'!$A$4:$E$24,2)),"",VLOOKUP(Y205,'4 - SGs'!$A$4:$E$24,2))</f>
        <v/>
      </c>
      <c r="AA205" s="149"/>
      <c r="AB205" s="149"/>
      <c r="AC205" s="149"/>
      <c r="AD205" s="149"/>
      <c r="AE205" s="153"/>
    </row>
    <row r="206" spans="1:31" s="150" customFormat="1" ht="12">
      <c r="K206" s="154"/>
      <c r="L206" s="154"/>
      <c r="M206" s="151"/>
      <c r="P206" s="152"/>
      <c r="Q206" s="157"/>
      <c r="R206" s="152"/>
      <c r="S206" s="157"/>
      <c r="T206" s="152"/>
      <c r="U206" s="157"/>
      <c r="V206" s="151"/>
      <c r="W206" s="151"/>
      <c r="X206" s="155" t="str">
        <f t="shared" si="4"/>
        <v/>
      </c>
      <c r="Y206" s="152"/>
      <c r="Z206" s="158" t="str">
        <f>IF(ISERROR(VLOOKUP(Y206,'4 - SGs'!$A$4:$E$24,2)),"",VLOOKUP(Y206,'4 - SGs'!$A$4:$E$24,2))</f>
        <v/>
      </c>
      <c r="AA206" s="149"/>
      <c r="AB206" s="149"/>
      <c r="AC206" s="149"/>
      <c r="AD206" s="149"/>
      <c r="AE206" s="153"/>
    </row>
    <row r="207" spans="1:31" s="150" customFormat="1" ht="12">
      <c r="K207" s="154"/>
      <c r="L207" s="154"/>
      <c r="M207" s="151"/>
      <c r="P207" s="152"/>
      <c r="Q207" s="157"/>
      <c r="R207" s="152"/>
      <c r="S207" s="157"/>
      <c r="T207" s="152"/>
      <c r="U207" s="157"/>
      <c r="V207" s="151"/>
      <c r="W207" s="151"/>
      <c r="X207" s="155" t="str">
        <f t="shared" si="4"/>
        <v/>
      </c>
      <c r="Y207" s="152"/>
      <c r="Z207" s="158" t="str">
        <f>IF(ISERROR(VLOOKUP(Y207,'4 - SGs'!$A$4:$E$24,2)),"",VLOOKUP(Y207,'4 - SGs'!$A$4:$E$24,2))</f>
        <v/>
      </c>
      <c r="AA207" s="149"/>
      <c r="AB207" s="149"/>
      <c r="AC207" s="149"/>
      <c r="AD207" s="149"/>
      <c r="AE207" s="153"/>
    </row>
    <row r="208" spans="1:31" s="150" customFormat="1" ht="12">
      <c r="K208" s="154"/>
      <c r="L208" s="154"/>
      <c r="M208" s="151"/>
      <c r="P208" s="152"/>
      <c r="Q208" s="157"/>
      <c r="R208" s="152"/>
      <c r="S208" s="157"/>
      <c r="T208" s="152"/>
      <c r="U208" s="157"/>
      <c r="V208" s="151"/>
      <c r="W208" s="151"/>
      <c r="X208" s="155" t="str">
        <f t="shared" si="4"/>
        <v/>
      </c>
      <c r="Y208" s="152"/>
      <c r="Z208" s="158" t="str">
        <f>IF(ISERROR(VLOOKUP(Y208,'4 - SGs'!$A$4:$E$24,2)),"",VLOOKUP(Y208,'4 - SGs'!$A$4:$E$24,2))</f>
        <v/>
      </c>
      <c r="AA208" s="149"/>
      <c r="AB208" s="149"/>
      <c r="AC208" s="149"/>
      <c r="AD208" s="149"/>
      <c r="AE208" s="153"/>
    </row>
    <row r="209" spans="11:31" s="150" customFormat="1" ht="12">
      <c r="K209" s="154"/>
      <c r="L209" s="154"/>
      <c r="M209" s="151"/>
      <c r="P209" s="152"/>
      <c r="Q209" s="157"/>
      <c r="R209" s="152"/>
      <c r="S209" s="157"/>
      <c r="T209" s="152"/>
      <c r="U209" s="157"/>
      <c r="V209" s="151"/>
      <c r="W209" s="151"/>
      <c r="X209" s="155" t="str">
        <f t="shared" si="4"/>
        <v/>
      </c>
      <c r="Y209" s="152"/>
      <c r="Z209" s="158" t="str">
        <f>IF(ISERROR(VLOOKUP(Y209,'4 - SGs'!$A$4:$E$24,2)),"",VLOOKUP(Y209,'4 - SGs'!$A$4:$E$24,2))</f>
        <v/>
      </c>
      <c r="AA209" s="149"/>
      <c r="AB209" s="149"/>
      <c r="AC209" s="149"/>
      <c r="AD209" s="149"/>
      <c r="AE209" s="153"/>
    </row>
    <row r="210" spans="11:31" s="150" customFormat="1" ht="12">
      <c r="K210" s="154"/>
      <c r="L210" s="154"/>
      <c r="M210" s="151"/>
      <c r="P210" s="152"/>
      <c r="Q210" s="157"/>
      <c r="R210" s="152"/>
      <c r="S210" s="157"/>
      <c r="T210" s="152"/>
      <c r="U210" s="157"/>
      <c r="V210" s="151"/>
      <c r="W210" s="151"/>
      <c r="X210" s="155" t="str">
        <f t="shared" si="4"/>
        <v/>
      </c>
      <c r="Y210" s="152"/>
      <c r="Z210" s="158" t="str">
        <f>IF(ISERROR(VLOOKUP(Y210,'4 - SGs'!$A$4:$E$24,2)),"",VLOOKUP(Y210,'4 - SGs'!$A$4:$E$24,2))</f>
        <v/>
      </c>
      <c r="AA210" s="149"/>
      <c r="AB210" s="149"/>
      <c r="AC210" s="149"/>
      <c r="AD210" s="149"/>
      <c r="AE210" s="153"/>
    </row>
    <row r="211" spans="11:31" s="150" customFormat="1" ht="12">
      <c r="K211" s="154"/>
      <c r="L211" s="154"/>
      <c r="M211" s="151"/>
      <c r="P211" s="152"/>
      <c r="Q211" s="157"/>
      <c r="R211" s="152"/>
      <c r="S211" s="157"/>
      <c r="T211" s="152"/>
      <c r="U211" s="157"/>
      <c r="V211" s="151"/>
      <c r="W211" s="151"/>
      <c r="X211" s="155" t="str">
        <f t="shared" si="4"/>
        <v/>
      </c>
      <c r="Y211" s="152"/>
      <c r="Z211" s="158" t="str">
        <f>IF(ISERROR(VLOOKUP(Y211,'4 - SGs'!$A$4:$E$24,2)),"",VLOOKUP(Y211,'4 - SGs'!$A$4:$E$24,2))</f>
        <v/>
      </c>
      <c r="AA211" s="149"/>
      <c r="AB211" s="149"/>
      <c r="AC211" s="149"/>
      <c r="AD211" s="149"/>
      <c r="AE211" s="153"/>
    </row>
    <row r="212" spans="11:31" s="150" customFormat="1" ht="12">
      <c r="K212" s="154"/>
      <c r="L212" s="154"/>
      <c r="M212" s="151"/>
      <c r="P212" s="152"/>
      <c r="Q212" s="157"/>
      <c r="R212" s="152"/>
      <c r="S212" s="157"/>
      <c r="T212" s="152"/>
      <c r="U212" s="157"/>
      <c r="V212" s="151"/>
      <c r="W212" s="151"/>
      <c r="X212" s="155" t="str">
        <f t="shared" si="4"/>
        <v/>
      </c>
      <c r="Y212" s="152"/>
      <c r="Z212" s="158" t="str">
        <f>IF(ISERROR(VLOOKUP(Y212,'4 - SGs'!$A$4:$E$24,2)),"",VLOOKUP(Y212,'4 - SGs'!$A$4:$E$24,2))</f>
        <v/>
      </c>
      <c r="AA212" s="149"/>
      <c r="AB212" s="149"/>
      <c r="AC212" s="149"/>
      <c r="AD212" s="149"/>
      <c r="AE212" s="153"/>
    </row>
    <row r="213" spans="11:31" s="150" customFormat="1" ht="12">
      <c r="K213" s="154"/>
      <c r="L213" s="154"/>
      <c r="M213" s="151"/>
      <c r="P213" s="152"/>
      <c r="Q213" s="157"/>
      <c r="R213" s="152"/>
      <c r="S213" s="157"/>
      <c r="T213" s="152"/>
      <c r="U213" s="157"/>
      <c r="V213" s="151"/>
      <c r="W213" s="151"/>
      <c r="X213" s="155" t="str">
        <f t="shared" si="4"/>
        <v/>
      </c>
      <c r="Y213" s="152"/>
      <c r="Z213" s="158" t="str">
        <f>IF(ISERROR(VLOOKUP(Y213,'4 - SGs'!$A$4:$E$24,2)),"",VLOOKUP(Y213,'4 - SGs'!$A$4:$E$24,2))</f>
        <v/>
      </c>
      <c r="AA213" s="149"/>
      <c r="AB213" s="149"/>
      <c r="AC213" s="149"/>
      <c r="AD213" s="149"/>
      <c r="AE213" s="153"/>
    </row>
    <row r="214" spans="11:31" s="150" customFormat="1" ht="12">
      <c r="K214" s="154"/>
      <c r="L214" s="154"/>
      <c r="M214" s="151"/>
      <c r="P214" s="152"/>
      <c r="Q214" s="157"/>
      <c r="R214" s="152"/>
      <c r="S214" s="157"/>
      <c r="T214" s="152"/>
      <c r="U214" s="157"/>
      <c r="V214" s="151"/>
      <c r="W214" s="151"/>
      <c r="X214" s="155" t="str">
        <f t="shared" si="4"/>
        <v/>
      </c>
      <c r="Y214" s="152"/>
      <c r="Z214" s="158" t="str">
        <f>IF(ISERROR(VLOOKUP(Y214,'4 - SGs'!$A$4:$E$24,2)),"",VLOOKUP(Y214,'4 - SGs'!$A$4:$E$24,2))</f>
        <v/>
      </c>
      <c r="AA214" s="149"/>
      <c r="AB214" s="149"/>
      <c r="AC214" s="149"/>
      <c r="AD214" s="149"/>
      <c r="AE214" s="153"/>
    </row>
    <row r="215" spans="11:31" s="150" customFormat="1" ht="12">
      <c r="K215" s="154"/>
      <c r="L215" s="154"/>
      <c r="M215" s="151"/>
      <c r="P215" s="152"/>
      <c r="Q215" s="157"/>
      <c r="R215" s="152"/>
      <c r="S215" s="157"/>
      <c r="T215" s="152"/>
      <c r="U215" s="157"/>
      <c r="V215" s="151"/>
      <c r="W215" s="151"/>
      <c r="X215" s="155" t="str">
        <f t="shared" si="4"/>
        <v/>
      </c>
      <c r="Y215" s="152"/>
      <c r="Z215" s="158" t="str">
        <f>IF(ISERROR(VLOOKUP(Y215,'4 - SGs'!$A$4:$E$24,2)),"",VLOOKUP(Y215,'4 - SGs'!$A$4:$E$24,2))</f>
        <v/>
      </c>
      <c r="AA215" s="149"/>
      <c r="AB215" s="149"/>
      <c r="AC215" s="149"/>
      <c r="AD215" s="149"/>
      <c r="AE215" s="153"/>
    </row>
    <row r="216" spans="11:31" s="150" customFormat="1" ht="12">
      <c r="K216" s="154"/>
      <c r="L216" s="154"/>
      <c r="M216" s="151"/>
      <c r="P216" s="152"/>
      <c r="Q216" s="157"/>
      <c r="R216" s="152"/>
      <c r="S216" s="157"/>
      <c r="T216" s="152"/>
      <c r="U216" s="157"/>
      <c r="V216" s="151"/>
      <c r="W216" s="151"/>
      <c r="X216" s="155" t="str">
        <f t="shared" si="4"/>
        <v/>
      </c>
      <c r="Y216" s="152"/>
      <c r="Z216" s="158" t="str">
        <f>IF(ISERROR(VLOOKUP(Y216,'4 - SGs'!$A$4:$E$24,2)),"",VLOOKUP(Y216,'4 - SGs'!$A$4:$E$24,2))</f>
        <v/>
      </c>
      <c r="AA216" s="149"/>
      <c r="AB216" s="149"/>
      <c r="AC216" s="149"/>
      <c r="AD216" s="149"/>
      <c r="AE216" s="153"/>
    </row>
    <row r="217" spans="11:31" s="150" customFormat="1" ht="12">
      <c r="K217" s="154"/>
      <c r="L217" s="154"/>
      <c r="M217" s="151"/>
      <c r="P217" s="152"/>
      <c r="Q217" s="157"/>
      <c r="R217" s="152"/>
      <c r="S217" s="157"/>
      <c r="T217" s="152"/>
      <c r="U217" s="157"/>
      <c r="V217" s="151"/>
      <c r="W217" s="151"/>
      <c r="X217" s="155" t="str">
        <f t="shared" si="4"/>
        <v/>
      </c>
      <c r="Y217" s="152"/>
      <c r="Z217" s="158" t="str">
        <f>IF(ISERROR(VLOOKUP(Y217,'4 - SGs'!$A$4:$E$24,2)),"",VLOOKUP(Y217,'4 - SGs'!$A$4:$E$24,2))</f>
        <v/>
      </c>
      <c r="AA217" s="149"/>
      <c r="AB217" s="149"/>
      <c r="AC217" s="149"/>
      <c r="AD217" s="149"/>
      <c r="AE217" s="153"/>
    </row>
    <row r="218" spans="11:31" s="150" customFormat="1" ht="12">
      <c r="K218" s="154"/>
      <c r="L218" s="154"/>
      <c r="M218" s="151"/>
      <c r="P218" s="152"/>
      <c r="Q218" s="157"/>
      <c r="R218" s="152"/>
      <c r="S218" s="157"/>
      <c r="T218" s="152"/>
      <c r="U218" s="157"/>
      <c r="V218" s="151"/>
      <c r="W218" s="151"/>
      <c r="X218" s="155" t="str">
        <f t="shared" si="4"/>
        <v/>
      </c>
      <c r="Y218" s="152"/>
      <c r="Z218" s="158" t="str">
        <f>IF(ISERROR(VLOOKUP(Y218,'4 - SGs'!$A$4:$E$24,2)),"",VLOOKUP(Y218,'4 - SGs'!$A$4:$E$24,2))</f>
        <v/>
      </c>
      <c r="AA218" s="149"/>
      <c r="AB218" s="149"/>
      <c r="AC218" s="149"/>
      <c r="AD218" s="149"/>
      <c r="AE218" s="153"/>
    </row>
    <row r="219" spans="11:31" s="150" customFormat="1" ht="12">
      <c r="K219" s="154"/>
      <c r="L219" s="154"/>
      <c r="M219" s="151"/>
      <c r="P219" s="152"/>
      <c r="Q219" s="157"/>
      <c r="R219" s="152"/>
      <c r="S219" s="157"/>
      <c r="T219" s="152"/>
      <c r="U219" s="157"/>
      <c r="V219" s="151"/>
      <c r="W219" s="151"/>
      <c r="X219" s="155" t="str">
        <f t="shared" si="4"/>
        <v/>
      </c>
      <c r="Y219" s="152"/>
      <c r="Z219" s="158" t="str">
        <f>IF(ISERROR(VLOOKUP(Y219,'4 - SGs'!$A$4:$E$24,2)),"",VLOOKUP(Y219,'4 - SGs'!$A$4:$E$24,2))</f>
        <v/>
      </c>
      <c r="AA219" s="149"/>
      <c r="AB219" s="149"/>
      <c r="AC219" s="149"/>
      <c r="AD219" s="149"/>
      <c r="AE219" s="153"/>
    </row>
    <row r="220" spans="11:31" s="150" customFormat="1" ht="12">
      <c r="K220" s="154"/>
      <c r="L220" s="154"/>
      <c r="M220" s="151"/>
      <c r="P220" s="152"/>
      <c r="Q220" s="157"/>
      <c r="R220" s="152"/>
      <c r="S220" s="157"/>
      <c r="T220" s="152"/>
      <c r="U220" s="157"/>
      <c r="V220" s="151"/>
      <c r="W220" s="151"/>
      <c r="X220" s="155" t="str">
        <f t="shared" si="4"/>
        <v/>
      </c>
      <c r="Y220" s="152"/>
      <c r="Z220" s="158" t="str">
        <f>IF(ISERROR(VLOOKUP(Y220,'4 - SGs'!$A$4:$E$24,2)),"",VLOOKUP(Y220,'4 - SGs'!$A$4:$E$24,2))</f>
        <v/>
      </c>
      <c r="AA220" s="149"/>
      <c r="AB220" s="149"/>
      <c r="AC220" s="149"/>
      <c r="AD220" s="149"/>
      <c r="AE220" s="153"/>
    </row>
    <row r="221" spans="11:31" s="150" customFormat="1" ht="12">
      <c r="K221" s="154"/>
      <c r="L221" s="154"/>
      <c r="M221" s="151"/>
      <c r="P221" s="152"/>
      <c r="Q221" s="157"/>
      <c r="R221" s="152"/>
      <c r="S221" s="157"/>
      <c r="T221" s="152"/>
      <c r="U221" s="157"/>
      <c r="V221" s="151"/>
      <c r="W221" s="151"/>
      <c r="X221" s="155" t="str">
        <f t="shared" si="4"/>
        <v/>
      </c>
      <c r="Y221" s="152"/>
      <c r="Z221" s="158" t="str">
        <f>IF(ISERROR(VLOOKUP(Y221,'4 - SGs'!$A$4:$E$24,2)),"",VLOOKUP(Y221,'4 - SGs'!$A$4:$E$24,2))</f>
        <v/>
      </c>
      <c r="AA221" s="149"/>
      <c r="AB221" s="149"/>
      <c r="AC221" s="149"/>
      <c r="AD221" s="149"/>
      <c r="AE221" s="153"/>
    </row>
    <row r="222" spans="11:31" s="150" customFormat="1" ht="12">
      <c r="K222" s="154"/>
      <c r="L222" s="154"/>
      <c r="M222" s="151"/>
      <c r="P222" s="152"/>
      <c r="Q222" s="157"/>
      <c r="R222" s="152"/>
      <c r="S222" s="157"/>
      <c r="T222" s="152"/>
      <c r="U222" s="157"/>
      <c r="V222" s="151"/>
      <c r="W222" s="151"/>
      <c r="X222" s="155" t="str">
        <f t="shared" si="4"/>
        <v/>
      </c>
      <c r="Y222" s="152"/>
      <c r="Z222" s="158" t="str">
        <f>IF(ISERROR(VLOOKUP(Y222,'4 - SGs'!$A$4:$E$24,2)),"",VLOOKUP(Y222,'4 - SGs'!$A$4:$E$24,2))</f>
        <v/>
      </c>
      <c r="AA222" s="149"/>
      <c r="AB222" s="149"/>
      <c r="AC222" s="149"/>
      <c r="AD222" s="149"/>
      <c r="AE222" s="153"/>
    </row>
    <row r="223" spans="11:31" s="150" customFormat="1" ht="12">
      <c r="K223" s="154"/>
      <c r="L223" s="154"/>
      <c r="M223" s="151"/>
      <c r="P223" s="152"/>
      <c r="Q223" s="157"/>
      <c r="R223" s="152"/>
      <c r="S223" s="157"/>
      <c r="T223" s="152"/>
      <c r="U223" s="157"/>
      <c r="V223" s="151"/>
      <c r="W223" s="151"/>
      <c r="X223" s="155" t="str">
        <f t="shared" si="4"/>
        <v/>
      </c>
      <c r="Y223" s="152"/>
      <c r="Z223" s="158" t="str">
        <f>IF(ISERROR(VLOOKUP(Y223,'4 - SGs'!$A$4:$E$24,2)),"",VLOOKUP(Y223,'4 - SGs'!$A$4:$E$24,2))</f>
        <v/>
      </c>
      <c r="AA223" s="149"/>
      <c r="AB223" s="149"/>
      <c r="AC223" s="149"/>
      <c r="AD223" s="149"/>
      <c r="AE223" s="153"/>
    </row>
    <row r="224" spans="11:31" s="150" customFormat="1" ht="12">
      <c r="K224" s="154"/>
      <c r="L224" s="154"/>
      <c r="M224" s="151"/>
      <c r="P224" s="152"/>
      <c r="Q224" s="157"/>
      <c r="R224" s="152"/>
      <c r="S224" s="157"/>
      <c r="T224" s="152"/>
      <c r="U224" s="157"/>
      <c r="V224" s="151"/>
      <c r="W224" s="151"/>
      <c r="X224" s="155" t="str">
        <f t="shared" si="4"/>
        <v/>
      </c>
      <c r="Y224" s="152"/>
      <c r="Z224" s="158" t="str">
        <f>IF(ISERROR(VLOOKUP(Y224,'4 - SGs'!$A$4:$E$24,2)),"",VLOOKUP(Y224,'4 - SGs'!$A$4:$E$24,2))</f>
        <v/>
      </c>
      <c r="AA224" s="149"/>
      <c r="AB224" s="149"/>
      <c r="AC224" s="149"/>
      <c r="AD224" s="149"/>
      <c r="AE224" s="153"/>
    </row>
    <row r="225" spans="11:31" s="150" customFormat="1" ht="12">
      <c r="K225" s="154"/>
      <c r="L225" s="154"/>
      <c r="M225" s="151"/>
      <c r="P225" s="152"/>
      <c r="Q225" s="157"/>
      <c r="R225" s="152"/>
      <c r="S225" s="157"/>
      <c r="T225" s="152"/>
      <c r="U225" s="157"/>
      <c r="V225" s="151"/>
      <c r="W225" s="151"/>
      <c r="X225" s="155" t="str">
        <f t="shared" si="4"/>
        <v/>
      </c>
      <c r="Y225" s="152"/>
      <c r="Z225" s="158" t="str">
        <f>IF(ISERROR(VLOOKUP(Y225,'4 - SGs'!$A$4:$E$24,2)),"",VLOOKUP(Y225,'4 - SGs'!$A$4:$E$24,2))</f>
        <v/>
      </c>
      <c r="AA225" s="149"/>
      <c r="AB225" s="149"/>
      <c r="AC225" s="149"/>
      <c r="AD225" s="149"/>
      <c r="AE225" s="153"/>
    </row>
    <row r="226" spans="11:31" s="150" customFormat="1" ht="12">
      <c r="K226" s="154"/>
      <c r="L226" s="154"/>
      <c r="M226" s="151"/>
      <c r="P226" s="152"/>
      <c r="Q226" s="157"/>
      <c r="R226" s="152"/>
      <c r="S226" s="157"/>
      <c r="T226" s="152"/>
      <c r="U226" s="157"/>
      <c r="V226" s="151"/>
      <c r="W226" s="151"/>
      <c r="X226" s="155" t="str">
        <f t="shared" si="4"/>
        <v/>
      </c>
      <c r="Y226" s="152"/>
      <c r="Z226" s="158" t="str">
        <f>IF(ISERROR(VLOOKUP(Y226,'4 - SGs'!$A$4:$E$24,2)),"",VLOOKUP(Y226,'4 - SGs'!$A$4:$E$24,2))</f>
        <v/>
      </c>
      <c r="AA226" s="149"/>
      <c r="AB226" s="149"/>
      <c r="AC226" s="149"/>
      <c r="AD226" s="149"/>
      <c r="AE226" s="153"/>
    </row>
    <row r="227" spans="11:31" s="150" customFormat="1" ht="12">
      <c r="K227" s="154"/>
      <c r="L227" s="154"/>
      <c r="M227" s="151"/>
      <c r="P227" s="152"/>
      <c r="Q227" s="157"/>
      <c r="R227" s="152"/>
      <c r="S227" s="157"/>
      <c r="T227" s="152"/>
      <c r="U227" s="157"/>
      <c r="V227" s="151"/>
      <c r="W227" s="151"/>
      <c r="X227" s="155" t="str">
        <f t="shared" si="4"/>
        <v/>
      </c>
      <c r="Y227" s="152"/>
      <c r="Z227" s="158" t="str">
        <f>IF(ISERROR(VLOOKUP(Y227,'4 - SGs'!$A$4:$E$24,2)),"",VLOOKUP(Y227,'4 - SGs'!$A$4:$E$24,2))</f>
        <v/>
      </c>
      <c r="AA227" s="149"/>
      <c r="AB227" s="149"/>
      <c r="AC227" s="149"/>
      <c r="AD227" s="149"/>
      <c r="AE227" s="153"/>
    </row>
    <row r="228" spans="11:31" s="150" customFormat="1" ht="12">
      <c r="K228" s="154"/>
      <c r="L228" s="154"/>
      <c r="M228" s="151"/>
      <c r="P228" s="152"/>
      <c r="Q228" s="157"/>
      <c r="R228" s="152"/>
      <c r="S228" s="157"/>
      <c r="T228" s="152"/>
      <c r="U228" s="157"/>
      <c r="V228" s="151"/>
      <c r="W228" s="151"/>
      <c r="X228" s="155" t="str">
        <f t="shared" si="4"/>
        <v/>
      </c>
      <c r="Y228" s="152"/>
      <c r="Z228" s="158" t="str">
        <f>IF(ISERROR(VLOOKUP(Y228,'4 - SGs'!$A$4:$E$24,2)),"",VLOOKUP(Y228,'4 - SGs'!$A$4:$E$24,2))</f>
        <v/>
      </c>
      <c r="AA228" s="149"/>
      <c r="AB228" s="149"/>
      <c r="AC228" s="149"/>
      <c r="AD228" s="149"/>
      <c r="AE228" s="153"/>
    </row>
    <row r="229" spans="11:31" s="150" customFormat="1" ht="12">
      <c r="K229" s="154"/>
      <c r="L229" s="154"/>
      <c r="M229" s="151"/>
      <c r="P229" s="152"/>
      <c r="Q229" s="157"/>
      <c r="R229" s="152"/>
      <c r="S229" s="157"/>
      <c r="T229" s="152"/>
      <c r="U229" s="157"/>
      <c r="V229" s="151"/>
      <c r="W229" s="151"/>
      <c r="X229" s="155" t="str">
        <f t="shared" si="4"/>
        <v/>
      </c>
      <c r="Y229" s="152"/>
      <c r="Z229" s="158" t="str">
        <f>IF(ISERROR(VLOOKUP(Y229,'4 - SGs'!$A$4:$E$24,2)),"",VLOOKUP(Y229,'4 - SGs'!$A$4:$E$24,2))</f>
        <v/>
      </c>
      <c r="AA229" s="149"/>
      <c r="AB229" s="149"/>
      <c r="AC229" s="149"/>
      <c r="AD229" s="149"/>
      <c r="AE229" s="153"/>
    </row>
    <row r="230" spans="11:31" s="150" customFormat="1" ht="12">
      <c r="K230" s="154"/>
      <c r="L230" s="154"/>
      <c r="M230" s="151"/>
      <c r="P230" s="152"/>
      <c r="Q230" s="157"/>
      <c r="R230" s="152"/>
      <c r="S230" s="157"/>
      <c r="T230" s="152"/>
      <c r="U230" s="157"/>
      <c r="V230" s="151"/>
      <c r="W230" s="151"/>
      <c r="X230" s="155" t="str">
        <f t="shared" si="4"/>
        <v/>
      </c>
      <c r="Y230" s="152"/>
      <c r="Z230" s="158" t="str">
        <f>IF(ISERROR(VLOOKUP(Y230,'4 - SGs'!$A$4:$E$24,2)),"",VLOOKUP(Y230,'4 - SGs'!$A$4:$E$24,2))</f>
        <v/>
      </c>
      <c r="AA230" s="149"/>
      <c r="AB230" s="149"/>
      <c r="AC230" s="149"/>
      <c r="AD230" s="149"/>
      <c r="AE230" s="153"/>
    </row>
    <row r="231" spans="11:31" s="150" customFormat="1" ht="12">
      <c r="K231" s="154"/>
      <c r="L231" s="154"/>
      <c r="M231" s="151"/>
      <c r="P231" s="152"/>
      <c r="Q231" s="157"/>
      <c r="R231" s="152"/>
      <c r="S231" s="157"/>
      <c r="T231" s="152"/>
      <c r="U231" s="157"/>
      <c r="V231" s="151"/>
      <c r="W231" s="151"/>
      <c r="X231" s="155" t="str">
        <f t="shared" si="4"/>
        <v/>
      </c>
      <c r="Y231" s="152"/>
      <c r="Z231" s="158" t="str">
        <f>IF(ISERROR(VLOOKUP(Y231,'4 - SGs'!$A$4:$E$24,2)),"",VLOOKUP(Y231,'4 - SGs'!$A$4:$E$24,2))</f>
        <v/>
      </c>
      <c r="AA231" s="149"/>
      <c r="AB231" s="149"/>
      <c r="AC231" s="149"/>
      <c r="AD231" s="149"/>
      <c r="AE231" s="153"/>
    </row>
    <row r="232" spans="11:31" s="150" customFormat="1" ht="12">
      <c r="K232" s="154"/>
      <c r="L232" s="154"/>
      <c r="M232" s="151"/>
      <c r="P232" s="152"/>
      <c r="Q232" s="157"/>
      <c r="R232" s="152"/>
      <c r="S232" s="157"/>
      <c r="T232" s="152"/>
      <c r="U232" s="157"/>
      <c r="V232" s="151"/>
      <c r="W232" s="151"/>
      <c r="X232" s="155" t="str">
        <f t="shared" si="4"/>
        <v/>
      </c>
      <c r="Y232" s="152"/>
      <c r="Z232" s="158" t="str">
        <f>IF(ISERROR(VLOOKUP(Y232,'4 - SGs'!$A$4:$E$24,2)),"",VLOOKUP(Y232,'4 - SGs'!$A$4:$E$24,2))</f>
        <v/>
      </c>
      <c r="AA232" s="149"/>
      <c r="AB232" s="149"/>
      <c r="AC232" s="149"/>
      <c r="AD232" s="149"/>
      <c r="AE232" s="153"/>
    </row>
    <row r="233" spans="11:31" s="150" customFormat="1" ht="12">
      <c r="K233" s="154"/>
      <c r="L233" s="154"/>
      <c r="M233" s="151"/>
      <c r="P233" s="152"/>
      <c r="Q233" s="157"/>
      <c r="R233" s="152"/>
      <c r="S233" s="157"/>
      <c r="T233" s="152"/>
      <c r="U233" s="157"/>
      <c r="V233" s="151"/>
      <c r="W233" s="151"/>
      <c r="X233" s="155" t="str">
        <f t="shared" si="4"/>
        <v/>
      </c>
      <c r="Y233" s="152"/>
      <c r="Z233" s="158" t="str">
        <f>IF(ISERROR(VLOOKUP(Y233,'4 - SGs'!$A$4:$E$24,2)),"",VLOOKUP(Y233,'4 - SGs'!$A$4:$E$24,2))</f>
        <v/>
      </c>
      <c r="AA233" s="149"/>
      <c r="AB233" s="149"/>
      <c r="AC233" s="149"/>
      <c r="AD233" s="149"/>
      <c r="AE233" s="153"/>
    </row>
    <row r="234" spans="11:31" s="150" customFormat="1" ht="12">
      <c r="K234" s="154"/>
      <c r="L234" s="154"/>
      <c r="M234" s="151"/>
      <c r="P234" s="152"/>
      <c r="Q234" s="157"/>
      <c r="R234" s="152"/>
      <c r="S234" s="157"/>
      <c r="T234" s="152"/>
      <c r="U234" s="157"/>
      <c r="V234" s="151"/>
      <c r="W234" s="151"/>
      <c r="X234" s="155" t="str">
        <f t="shared" si="4"/>
        <v/>
      </c>
      <c r="Y234" s="152"/>
      <c r="Z234" s="158" t="str">
        <f>IF(ISERROR(VLOOKUP(Y234,'4 - SGs'!$A$4:$E$24,2)),"",VLOOKUP(Y234,'4 - SGs'!$A$4:$E$24,2))</f>
        <v/>
      </c>
      <c r="AA234" s="149"/>
      <c r="AB234" s="149"/>
      <c r="AC234" s="149"/>
      <c r="AD234" s="149"/>
      <c r="AE234" s="153"/>
    </row>
    <row r="235" spans="11:31" s="150" customFormat="1" ht="12">
      <c r="K235" s="154"/>
      <c r="L235" s="154"/>
      <c r="M235" s="151"/>
      <c r="P235" s="152"/>
      <c r="Q235" s="157"/>
      <c r="R235" s="152"/>
      <c r="S235" s="157"/>
      <c r="T235" s="152"/>
      <c r="U235" s="157"/>
      <c r="V235" s="151"/>
      <c r="W235" s="151"/>
      <c r="X235" s="155" t="str">
        <f t="shared" si="4"/>
        <v/>
      </c>
      <c r="Y235" s="152"/>
      <c r="Z235" s="158" t="str">
        <f>IF(ISERROR(VLOOKUP(Y235,'4 - SGs'!$A$4:$E$24,2)),"",VLOOKUP(Y235,'4 - SGs'!$A$4:$E$24,2))</f>
        <v/>
      </c>
      <c r="AA235" s="149"/>
      <c r="AB235" s="149"/>
      <c r="AC235" s="149"/>
      <c r="AD235" s="149"/>
      <c r="AE235" s="153"/>
    </row>
    <row r="236" spans="11:31" s="150" customFormat="1" ht="12">
      <c r="K236" s="154"/>
      <c r="L236" s="154"/>
      <c r="M236" s="151"/>
      <c r="P236" s="152"/>
      <c r="Q236" s="157"/>
      <c r="R236" s="152"/>
      <c r="S236" s="157"/>
      <c r="T236" s="152"/>
      <c r="U236" s="157"/>
      <c r="V236" s="151"/>
      <c r="W236" s="151"/>
      <c r="X236" s="155" t="str">
        <f t="shared" si="4"/>
        <v/>
      </c>
      <c r="Y236" s="152"/>
      <c r="Z236" s="158" t="str">
        <f>IF(ISERROR(VLOOKUP(Y236,'4 - SGs'!$A$4:$E$24,2)),"",VLOOKUP(Y236,'4 - SGs'!$A$4:$E$24,2))</f>
        <v/>
      </c>
      <c r="AA236" s="149"/>
      <c r="AB236" s="149"/>
      <c r="AC236" s="149"/>
      <c r="AD236" s="149"/>
      <c r="AE236" s="153"/>
    </row>
    <row r="237" spans="11:31" s="150" customFormat="1" ht="12">
      <c r="K237" s="154"/>
      <c r="L237" s="154"/>
      <c r="M237" s="151"/>
      <c r="P237" s="152"/>
      <c r="Q237" s="157"/>
      <c r="R237" s="152"/>
      <c r="S237" s="157"/>
      <c r="T237" s="152"/>
      <c r="U237" s="157"/>
      <c r="V237" s="151"/>
      <c r="W237" s="151"/>
      <c r="X237" s="155" t="str">
        <f t="shared" si="4"/>
        <v/>
      </c>
      <c r="Y237" s="152"/>
      <c r="Z237" s="158" t="str">
        <f>IF(ISERROR(VLOOKUP(Y237,'4 - SGs'!$A$4:$E$24,2)),"",VLOOKUP(Y237,'4 - SGs'!$A$4:$E$24,2))</f>
        <v/>
      </c>
      <c r="AA237" s="149"/>
      <c r="AB237" s="149"/>
      <c r="AC237" s="149"/>
      <c r="AD237" s="149"/>
      <c r="AE237" s="153"/>
    </row>
    <row r="238" spans="11:31" s="150" customFormat="1" ht="12">
      <c r="K238" s="154"/>
      <c r="L238" s="154"/>
      <c r="M238" s="151"/>
      <c r="P238" s="152"/>
      <c r="Q238" s="157"/>
      <c r="R238" s="152"/>
      <c r="S238" s="157"/>
      <c r="T238" s="152"/>
      <c r="U238" s="157"/>
      <c r="V238" s="151"/>
      <c r="W238" s="151"/>
      <c r="X238" s="155" t="str">
        <f t="shared" si="4"/>
        <v/>
      </c>
      <c r="Y238" s="152"/>
      <c r="Z238" s="158" t="str">
        <f>IF(ISERROR(VLOOKUP(Y238,'4 - SGs'!$A$4:$E$24,2)),"",VLOOKUP(Y238,'4 - SGs'!$A$4:$E$24,2))</f>
        <v/>
      </c>
      <c r="AA238" s="149"/>
      <c r="AB238" s="149"/>
      <c r="AC238" s="149"/>
      <c r="AD238" s="149"/>
      <c r="AE238" s="153"/>
    </row>
    <row r="239" spans="11:31" s="150" customFormat="1" ht="12">
      <c r="K239" s="154"/>
      <c r="L239" s="154"/>
      <c r="M239" s="151"/>
      <c r="P239" s="152"/>
      <c r="Q239" s="157"/>
      <c r="R239" s="152"/>
      <c r="S239" s="157"/>
      <c r="T239" s="152"/>
      <c r="U239" s="157"/>
      <c r="V239" s="151"/>
      <c r="W239" s="151"/>
      <c r="X239" s="155" t="str">
        <f t="shared" si="4"/>
        <v/>
      </c>
      <c r="Y239" s="152"/>
      <c r="Z239" s="158" t="str">
        <f>IF(ISERROR(VLOOKUP(Y239,'4 - SGs'!$A$4:$E$24,2)),"",VLOOKUP(Y239,'4 - SGs'!$A$4:$E$24,2))</f>
        <v/>
      </c>
      <c r="AA239" s="149"/>
      <c r="AB239" s="149"/>
      <c r="AC239" s="149"/>
      <c r="AD239" s="149"/>
      <c r="AE239" s="153"/>
    </row>
    <row r="240" spans="11:31" s="150" customFormat="1" ht="12">
      <c r="K240" s="154"/>
      <c r="L240" s="154"/>
      <c r="M240" s="151"/>
      <c r="P240" s="152"/>
      <c r="Q240" s="157"/>
      <c r="R240" s="152"/>
      <c r="S240" s="157"/>
      <c r="T240" s="152"/>
      <c r="U240" s="157"/>
      <c r="V240" s="151"/>
      <c r="W240" s="151"/>
      <c r="X240" s="155" t="str">
        <f t="shared" si="4"/>
        <v/>
      </c>
      <c r="Y240" s="152"/>
      <c r="Z240" s="158" t="str">
        <f>IF(ISERROR(VLOOKUP(Y240,'4 - SGs'!$A$4:$E$24,2)),"",VLOOKUP(Y240,'4 - SGs'!$A$4:$E$24,2))</f>
        <v/>
      </c>
      <c r="AA240" s="149"/>
      <c r="AB240" s="149"/>
      <c r="AC240" s="149"/>
      <c r="AD240" s="149"/>
      <c r="AE240" s="153"/>
    </row>
    <row r="241" spans="11:31" s="150" customFormat="1" ht="12">
      <c r="K241" s="154"/>
      <c r="L241" s="154"/>
      <c r="M241" s="151"/>
      <c r="P241" s="152"/>
      <c r="Q241" s="157"/>
      <c r="R241" s="152"/>
      <c r="S241" s="157"/>
      <c r="T241" s="152"/>
      <c r="U241" s="157"/>
      <c r="V241" s="151"/>
      <c r="W241" s="151"/>
      <c r="X241" s="155" t="str">
        <f t="shared" si="4"/>
        <v/>
      </c>
      <c r="Y241" s="152"/>
      <c r="Z241" s="158" t="str">
        <f>IF(ISERROR(VLOOKUP(Y241,'4 - SGs'!$A$4:$E$24,2)),"",VLOOKUP(Y241,'4 - SGs'!$A$4:$E$24,2))</f>
        <v/>
      </c>
      <c r="AA241" s="149"/>
      <c r="AB241" s="149"/>
      <c r="AC241" s="149"/>
      <c r="AD241" s="149"/>
      <c r="AE241" s="153"/>
    </row>
    <row r="242" spans="11:31" s="150" customFormat="1" ht="12">
      <c r="K242" s="154"/>
      <c r="L242" s="154"/>
      <c r="M242" s="151"/>
      <c r="P242" s="152"/>
      <c r="Q242" s="157"/>
      <c r="R242" s="152"/>
      <c r="S242" s="157"/>
      <c r="T242" s="152"/>
      <c r="U242" s="157"/>
      <c r="V242" s="151"/>
      <c r="W242" s="151"/>
      <c r="X242" s="155" t="str">
        <f t="shared" si="4"/>
        <v/>
      </c>
      <c r="Y242" s="152"/>
      <c r="Z242" s="158" t="str">
        <f>IF(ISERROR(VLOOKUP(Y242,'4 - SGs'!$A$4:$E$24,2)),"",VLOOKUP(Y242,'4 - SGs'!$A$4:$E$24,2))</f>
        <v/>
      </c>
      <c r="AA242" s="149"/>
      <c r="AB242" s="149"/>
      <c r="AC242" s="149"/>
      <c r="AD242" s="149"/>
      <c r="AE242" s="153"/>
    </row>
    <row r="243" spans="11:31" s="150" customFormat="1" ht="12">
      <c r="K243" s="154"/>
      <c r="L243" s="154"/>
      <c r="M243" s="151"/>
      <c r="P243" s="152"/>
      <c r="Q243" s="157"/>
      <c r="R243" s="152"/>
      <c r="S243" s="157"/>
      <c r="T243" s="152"/>
      <c r="U243" s="157"/>
      <c r="V243" s="151"/>
      <c r="W243" s="151"/>
      <c r="X243" s="155" t="str">
        <f t="shared" si="4"/>
        <v/>
      </c>
      <c r="Y243" s="152"/>
      <c r="Z243" s="158" t="str">
        <f>IF(ISERROR(VLOOKUP(Y243,'4 - SGs'!$A$4:$E$24,2)),"",VLOOKUP(Y243,'4 - SGs'!$A$4:$E$24,2))</f>
        <v/>
      </c>
      <c r="AA243" s="149"/>
      <c r="AB243" s="149"/>
      <c r="AC243" s="149"/>
      <c r="AD243" s="149"/>
      <c r="AE243" s="153"/>
    </row>
    <row r="244" spans="11:31" s="150" customFormat="1" ht="12">
      <c r="K244" s="154"/>
      <c r="L244" s="154"/>
      <c r="M244" s="151"/>
      <c r="P244" s="152"/>
      <c r="Q244" s="157"/>
      <c r="R244" s="152"/>
      <c r="S244" s="157"/>
      <c r="T244" s="152"/>
      <c r="U244" s="157"/>
      <c r="V244" s="151"/>
      <c r="W244" s="151"/>
      <c r="X244" s="155" t="str">
        <f t="shared" si="4"/>
        <v/>
      </c>
      <c r="Y244" s="152"/>
      <c r="Z244" s="158" t="str">
        <f>IF(ISERROR(VLOOKUP(Y244,'4 - SGs'!$A$4:$E$24,2)),"",VLOOKUP(Y244,'4 - SGs'!$A$4:$E$24,2))</f>
        <v/>
      </c>
      <c r="AA244" s="149"/>
      <c r="AB244" s="149"/>
      <c r="AC244" s="149"/>
      <c r="AD244" s="149"/>
      <c r="AE244" s="153"/>
    </row>
    <row r="245" spans="11:31" s="150" customFormat="1" ht="12">
      <c r="K245" s="154"/>
      <c r="L245" s="154"/>
      <c r="M245" s="151"/>
      <c r="P245" s="152"/>
      <c r="Q245" s="157"/>
      <c r="R245" s="152"/>
      <c r="S245" s="157"/>
      <c r="T245" s="152"/>
      <c r="U245" s="157"/>
      <c r="V245" s="151"/>
      <c r="W245" s="151"/>
      <c r="X245" s="155" t="str">
        <f t="shared" si="4"/>
        <v/>
      </c>
      <c r="Y245" s="152"/>
      <c r="Z245" s="158" t="str">
        <f>IF(ISERROR(VLOOKUP(Y245,'4 - SGs'!$A$4:$E$24,2)),"",VLOOKUP(Y245,'4 - SGs'!$A$4:$E$24,2))</f>
        <v/>
      </c>
      <c r="AA245" s="149"/>
      <c r="AB245" s="149"/>
      <c r="AC245" s="149"/>
      <c r="AD245" s="149"/>
      <c r="AE245" s="153"/>
    </row>
    <row r="246" spans="11:31" s="150" customFormat="1" ht="12">
      <c r="K246" s="154"/>
      <c r="L246" s="154"/>
      <c r="M246" s="151"/>
      <c r="P246" s="152"/>
      <c r="Q246" s="157"/>
      <c r="R246" s="152"/>
      <c r="S246" s="157"/>
      <c r="T246" s="152"/>
      <c r="U246" s="157"/>
      <c r="V246" s="151"/>
      <c r="W246" s="151"/>
      <c r="X246" s="155" t="str">
        <f t="shared" si="4"/>
        <v/>
      </c>
      <c r="Y246" s="152"/>
      <c r="Z246" s="158" t="str">
        <f>IF(ISERROR(VLOOKUP(Y246,'4 - SGs'!$A$4:$E$24,2)),"",VLOOKUP(Y246,'4 - SGs'!$A$4:$E$24,2))</f>
        <v/>
      </c>
      <c r="AA246" s="149"/>
      <c r="AB246" s="149"/>
      <c r="AC246" s="149"/>
      <c r="AD246" s="149"/>
      <c r="AE246" s="153"/>
    </row>
    <row r="247" spans="11:31" s="150" customFormat="1" ht="12">
      <c r="K247" s="154"/>
      <c r="L247" s="154"/>
      <c r="M247" s="151"/>
      <c r="P247" s="152"/>
      <c r="Q247" s="157"/>
      <c r="R247" s="152"/>
      <c r="S247" s="157"/>
      <c r="T247" s="152"/>
      <c r="U247" s="157"/>
      <c r="V247" s="151"/>
      <c r="W247" s="151"/>
      <c r="X247" s="155" t="str">
        <f t="shared" si="4"/>
        <v/>
      </c>
      <c r="Y247" s="152"/>
      <c r="Z247" s="158" t="str">
        <f>IF(ISERROR(VLOOKUP(Y247,'4 - SGs'!$A$4:$E$24,2)),"",VLOOKUP(Y247,'4 - SGs'!$A$4:$E$24,2))</f>
        <v/>
      </c>
      <c r="AA247" s="149"/>
      <c r="AB247" s="149"/>
      <c r="AC247" s="149"/>
      <c r="AD247" s="149"/>
      <c r="AE247" s="153"/>
    </row>
    <row r="248" spans="11:31" s="150" customFormat="1" ht="12">
      <c r="K248" s="154"/>
      <c r="L248" s="154"/>
      <c r="M248" s="151"/>
      <c r="P248" s="152"/>
      <c r="Q248" s="157"/>
      <c r="R248" s="152"/>
      <c r="S248" s="157"/>
      <c r="T248" s="152"/>
      <c r="U248" s="157"/>
      <c r="V248" s="151"/>
      <c r="W248" s="151"/>
      <c r="X248" s="155" t="str">
        <f t="shared" si="4"/>
        <v/>
      </c>
      <c r="Y248" s="152"/>
      <c r="Z248" s="158" t="str">
        <f>IF(ISERROR(VLOOKUP(Y248,'4 - SGs'!$A$4:$E$24,2)),"",VLOOKUP(Y248,'4 - SGs'!$A$4:$E$24,2))</f>
        <v/>
      </c>
      <c r="AA248" s="149"/>
      <c r="AB248" s="149"/>
      <c r="AC248" s="149"/>
      <c r="AD248" s="149"/>
      <c r="AE248" s="153"/>
    </row>
    <row r="249" spans="11:31" s="150" customFormat="1" ht="12">
      <c r="K249" s="154"/>
      <c r="L249" s="154"/>
      <c r="M249" s="151"/>
      <c r="P249" s="152"/>
      <c r="Q249" s="157"/>
      <c r="R249" s="152"/>
      <c r="S249" s="157"/>
      <c r="T249" s="152"/>
      <c r="U249" s="157"/>
      <c r="V249" s="151"/>
      <c r="W249" s="151"/>
      <c r="X249" s="155" t="str">
        <f t="shared" si="4"/>
        <v/>
      </c>
      <c r="Y249" s="152"/>
      <c r="Z249" s="158" t="str">
        <f>IF(ISERROR(VLOOKUP(Y249,'4 - SGs'!$A$4:$E$24,2)),"",VLOOKUP(Y249,'4 - SGs'!$A$4:$E$24,2))</f>
        <v/>
      </c>
      <c r="AA249" s="149"/>
      <c r="AB249" s="149"/>
      <c r="AC249" s="149"/>
      <c r="AD249" s="149"/>
      <c r="AE249" s="153"/>
    </row>
    <row r="250" spans="11:31" s="150" customFormat="1" ht="12">
      <c r="K250" s="154"/>
      <c r="L250" s="154"/>
      <c r="M250" s="151"/>
      <c r="P250" s="152"/>
      <c r="Q250" s="157"/>
      <c r="R250" s="152"/>
      <c r="S250" s="157"/>
      <c r="T250" s="152"/>
      <c r="U250" s="157"/>
      <c r="V250" s="151"/>
      <c r="W250" s="151"/>
      <c r="X250" s="155" t="str">
        <f t="shared" si="4"/>
        <v/>
      </c>
      <c r="Y250" s="152"/>
      <c r="Z250" s="158" t="str">
        <f>IF(ISERROR(VLOOKUP(Y250,'4 - SGs'!$A$4:$E$24,2)),"",VLOOKUP(Y250,'4 - SGs'!$A$4:$E$24,2))</f>
        <v/>
      </c>
      <c r="AA250" s="149"/>
      <c r="AB250" s="149"/>
      <c r="AC250" s="149"/>
      <c r="AD250" s="149"/>
      <c r="AE250" s="153"/>
    </row>
    <row r="251" spans="11:31" s="150" customFormat="1" ht="12">
      <c r="K251" s="154"/>
      <c r="L251" s="154"/>
      <c r="M251" s="151"/>
      <c r="P251" s="152"/>
      <c r="Q251" s="157"/>
      <c r="R251" s="152"/>
      <c r="S251" s="157"/>
      <c r="T251" s="152"/>
      <c r="U251" s="157"/>
      <c r="V251" s="151"/>
      <c r="W251" s="151"/>
      <c r="X251" s="155" t="str">
        <f t="shared" si="4"/>
        <v/>
      </c>
      <c r="Y251" s="152"/>
      <c r="Z251" s="158" t="str">
        <f>IF(ISERROR(VLOOKUP(Y251,'4 - SGs'!$A$4:$E$24,2)),"",VLOOKUP(Y251,'4 - SGs'!$A$4:$E$24,2))</f>
        <v/>
      </c>
      <c r="AA251" s="149"/>
      <c r="AB251" s="149"/>
      <c r="AC251" s="149"/>
      <c r="AD251" s="149"/>
      <c r="AE251" s="153"/>
    </row>
    <row r="252" spans="11:31" s="150" customFormat="1" ht="12">
      <c r="K252" s="154"/>
      <c r="L252" s="154"/>
      <c r="M252" s="151"/>
      <c r="P252" s="152"/>
      <c r="Q252" s="157"/>
      <c r="R252" s="152"/>
      <c r="S252" s="157"/>
      <c r="T252" s="152"/>
      <c r="U252" s="157"/>
      <c r="V252" s="151"/>
      <c r="W252" s="151"/>
      <c r="X252" s="155" t="str">
        <f t="shared" si="4"/>
        <v/>
      </c>
      <c r="Y252" s="152"/>
      <c r="Z252" s="158" t="str">
        <f>IF(ISERROR(VLOOKUP(Y252,'4 - SGs'!$A$4:$E$24,2)),"",VLOOKUP(Y252,'4 - SGs'!$A$4:$E$24,2))</f>
        <v/>
      </c>
      <c r="AA252" s="149"/>
      <c r="AB252" s="149"/>
      <c r="AC252" s="149"/>
      <c r="AD252" s="149"/>
      <c r="AE252" s="153"/>
    </row>
    <row r="253" spans="11:31" s="150" customFormat="1" ht="12">
      <c r="K253" s="154"/>
      <c r="L253" s="154"/>
      <c r="M253" s="151"/>
      <c r="P253" s="152"/>
      <c r="Q253" s="157"/>
      <c r="R253" s="152"/>
      <c r="S253" s="157"/>
      <c r="T253" s="152"/>
      <c r="U253" s="157"/>
      <c r="V253" s="151"/>
      <c r="W253" s="151"/>
      <c r="X253" s="155" t="str">
        <f t="shared" si="4"/>
        <v/>
      </c>
      <c r="Y253" s="152"/>
      <c r="Z253" s="158" t="str">
        <f>IF(ISERROR(VLOOKUP(Y253,'4 - SGs'!$A$4:$E$24,2)),"",VLOOKUP(Y253,'4 - SGs'!$A$4:$E$24,2))</f>
        <v/>
      </c>
      <c r="AA253" s="149"/>
      <c r="AB253" s="149"/>
      <c r="AC253" s="149"/>
      <c r="AD253" s="149"/>
      <c r="AE253" s="153"/>
    </row>
    <row r="254" spans="11:31" s="150" customFormat="1" ht="12">
      <c r="K254" s="154"/>
      <c r="L254" s="154"/>
      <c r="M254" s="151"/>
      <c r="P254" s="152"/>
      <c r="Q254" s="157"/>
      <c r="R254" s="152"/>
      <c r="S254" s="157"/>
      <c r="T254" s="152"/>
      <c r="U254" s="157"/>
      <c r="V254" s="151"/>
      <c r="W254" s="151"/>
      <c r="X254" s="155" t="str">
        <f t="shared" si="4"/>
        <v/>
      </c>
      <c r="Y254" s="152"/>
      <c r="Z254" s="158" t="str">
        <f>IF(ISERROR(VLOOKUP(Y254,'4 - SGs'!$A$4:$E$24,2)),"",VLOOKUP(Y254,'4 - SGs'!$A$4:$E$24,2))</f>
        <v/>
      </c>
      <c r="AA254" s="149"/>
      <c r="AB254" s="149"/>
      <c r="AC254" s="149"/>
      <c r="AD254" s="149"/>
      <c r="AE254" s="153"/>
    </row>
    <row r="255" spans="11:31" s="150" customFormat="1" ht="12">
      <c r="K255" s="154"/>
      <c r="L255" s="154"/>
      <c r="M255" s="151"/>
      <c r="P255" s="152"/>
      <c r="Q255" s="157"/>
      <c r="R255" s="152"/>
      <c r="S255" s="157"/>
      <c r="T255" s="152"/>
      <c r="U255" s="157"/>
      <c r="V255" s="151"/>
      <c r="W255" s="151"/>
      <c r="X255" s="155" t="str">
        <f t="shared" si="4"/>
        <v/>
      </c>
      <c r="Y255" s="152"/>
      <c r="Z255" s="158" t="str">
        <f>IF(ISERROR(VLOOKUP(Y255,'4 - SGs'!$A$4:$E$24,2)),"",VLOOKUP(Y255,'4 - SGs'!$A$4:$E$24,2))</f>
        <v/>
      </c>
      <c r="AA255" s="149"/>
      <c r="AB255" s="149"/>
      <c r="AC255" s="149"/>
      <c r="AD255" s="149"/>
      <c r="AE255" s="153"/>
    </row>
    <row r="256" spans="11:31" s="150" customFormat="1" ht="12">
      <c r="K256" s="154"/>
      <c r="L256" s="154"/>
      <c r="M256" s="151"/>
      <c r="P256" s="152"/>
      <c r="Q256" s="157"/>
      <c r="R256" s="152"/>
      <c r="S256" s="157"/>
      <c r="T256" s="152"/>
      <c r="U256" s="157"/>
      <c r="V256" s="151"/>
      <c r="W256" s="151"/>
      <c r="X256" s="155" t="str">
        <f t="shared" si="4"/>
        <v/>
      </c>
      <c r="Y256" s="152"/>
      <c r="Z256" s="158" t="str">
        <f>IF(ISERROR(VLOOKUP(Y256,'4 - SGs'!$A$4:$E$24,2)),"",VLOOKUP(Y256,'4 - SGs'!$A$4:$E$24,2))</f>
        <v/>
      </c>
      <c r="AA256" s="149"/>
      <c r="AB256" s="149"/>
      <c r="AC256" s="149"/>
      <c r="AD256" s="149"/>
      <c r="AE256" s="153"/>
    </row>
    <row r="257" spans="11:31" s="150" customFormat="1" ht="12">
      <c r="K257" s="154"/>
      <c r="L257" s="154"/>
      <c r="M257" s="151"/>
      <c r="P257" s="152"/>
      <c r="Q257" s="157"/>
      <c r="R257" s="152"/>
      <c r="S257" s="157"/>
      <c r="T257" s="152"/>
      <c r="U257" s="157"/>
      <c r="V257" s="151"/>
      <c r="W257" s="151"/>
      <c r="X257" s="155" t="str">
        <f t="shared" ref="X257:X320" si="5">IF(AND(ISBLANK(S_Wert),ISBLANK(E_Wert),ISBLANK(C_Wert)),"",IF(OR(S_Wert="S0",C_Wert="C0"),"",IF(E_Wert="E0","QM",IF(AND(S_Wert="-",E_Wert="-",C_Wert="-"),"?",VLOOKUP(S_Wert&amp;E_Wert,ASIL_Tabelle,MATCH(C_Wert,Controllability,0)+1,FALSE)))))</f>
        <v/>
      </c>
      <c r="Y257" s="152"/>
      <c r="Z257" s="158" t="str">
        <f>IF(ISERROR(VLOOKUP(Y257,'4 - SGs'!$A$4:$E$24,2)),"",VLOOKUP(Y257,'4 - SGs'!$A$4:$E$24,2))</f>
        <v/>
      </c>
      <c r="AA257" s="149"/>
      <c r="AB257" s="149"/>
      <c r="AC257" s="149"/>
      <c r="AD257" s="149"/>
      <c r="AE257" s="153"/>
    </row>
    <row r="258" spans="11:31" s="150" customFormat="1" ht="12">
      <c r="K258" s="154"/>
      <c r="L258" s="154"/>
      <c r="M258" s="151"/>
      <c r="P258" s="152"/>
      <c r="Q258" s="157"/>
      <c r="R258" s="152"/>
      <c r="S258" s="157"/>
      <c r="T258" s="152"/>
      <c r="U258" s="157"/>
      <c r="V258" s="151"/>
      <c r="W258" s="151"/>
      <c r="X258" s="155" t="str">
        <f t="shared" si="5"/>
        <v/>
      </c>
      <c r="Y258" s="152"/>
      <c r="Z258" s="158" t="str">
        <f>IF(ISERROR(VLOOKUP(Y258,'4 - SGs'!$A$4:$E$24,2)),"",VLOOKUP(Y258,'4 - SGs'!$A$4:$E$24,2))</f>
        <v/>
      </c>
      <c r="AA258" s="149"/>
      <c r="AB258" s="149"/>
      <c r="AC258" s="149"/>
      <c r="AD258" s="149"/>
      <c r="AE258" s="153"/>
    </row>
    <row r="259" spans="11:31" s="150" customFormat="1" ht="12">
      <c r="K259" s="154"/>
      <c r="L259" s="154"/>
      <c r="M259" s="151"/>
      <c r="P259" s="152"/>
      <c r="Q259" s="157"/>
      <c r="R259" s="152"/>
      <c r="S259" s="157"/>
      <c r="T259" s="152"/>
      <c r="U259" s="157"/>
      <c r="V259" s="151"/>
      <c r="W259" s="151"/>
      <c r="X259" s="155" t="str">
        <f t="shared" si="5"/>
        <v/>
      </c>
      <c r="Y259" s="152"/>
      <c r="Z259" s="158" t="str">
        <f>IF(ISERROR(VLOOKUP(Y259,'4 - SGs'!$A$4:$E$24,2)),"",VLOOKUP(Y259,'4 - SGs'!$A$4:$E$24,2))</f>
        <v/>
      </c>
      <c r="AA259" s="149"/>
      <c r="AB259" s="149"/>
      <c r="AC259" s="149"/>
      <c r="AD259" s="149"/>
      <c r="AE259" s="153"/>
    </row>
    <row r="260" spans="11:31" s="150" customFormat="1" ht="12">
      <c r="K260" s="154"/>
      <c r="L260" s="154"/>
      <c r="M260" s="151"/>
      <c r="P260" s="152"/>
      <c r="Q260" s="157"/>
      <c r="R260" s="152"/>
      <c r="S260" s="157"/>
      <c r="T260" s="152"/>
      <c r="U260" s="157"/>
      <c r="V260" s="151"/>
      <c r="W260" s="151"/>
      <c r="X260" s="155" t="str">
        <f t="shared" si="5"/>
        <v/>
      </c>
      <c r="Y260" s="152"/>
      <c r="Z260" s="158" t="str">
        <f>IF(ISERROR(VLOOKUP(Y260,'4 - SGs'!$A$4:$E$24,2)),"",VLOOKUP(Y260,'4 - SGs'!$A$4:$E$24,2))</f>
        <v/>
      </c>
      <c r="AA260" s="149"/>
      <c r="AB260" s="149"/>
      <c r="AC260" s="149"/>
      <c r="AD260" s="149"/>
      <c r="AE260" s="153"/>
    </row>
    <row r="261" spans="11:31" s="150" customFormat="1" ht="12">
      <c r="K261" s="154"/>
      <c r="L261" s="154"/>
      <c r="M261" s="151"/>
      <c r="P261" s="152"/>
      <c r="Q261" s="157"/>
      <c r="R261" s="152"/>
      <c r="S261" s="157"/>
      <c r="T261" s="152"/>
      <c r="U261" s="157"/>
      <c r="V261" s="151"/>
      <c r="W261" s="151"/>
      <c r="X261" s="155" t="str">
        <f t="shared" si="5"/>
        <v/>
      </c>
      <c r="Y261" s="152"/>
      <c r="Z261" s="158" t="str">
        <f>IF(ISERROR(VLOOKUP(Y261,'4 - SGs'!$A$4:$E$24,2)),"",VLOOKUP(Y261,'4 - SGs'!$A$4:$E$24,2))</f>
        <v/>
      </c>
      <c r="AA261" s="149"/>
      <c r="AB261" s="149"/>
      <c r="AC261" s="149"/>
      <c r="AD261" s="149"/>
      <c r="AE261" s="153"/>
    </row>
    <row r="262" spans="11:31" s="150" customFormat="1" ht="12">
      <c r="K262" s="154"/>
      <c r="L262" s="154"/>
      <c r="M262" s="151"/>
      <c r="P262" s="152"/>
      <c r="Q262" s="157"/>
      <c r="R262" s="152"/>
      <c r="S262" s="157"/>
      <c r="T262" s="152"/>
      <c r="U262" s="157"/>
      <c r="V262" s="151"/>
      <c r="W262" s="151"/>
      <c r="X262" s="155" t="str">
        <f t="shared" si="5"/>
        <v/>
      </c>
      <c r="Y262" s="152"/>
      <c r="Z262" s="158" t="str">
        <f>IF(ISERROR(VLOOKUP(Y262,'4 - SGs'!$A$4:$E$24,2)),"",VLOOKUP(Y262,'4 - SGs'!$A$4:$E$24,2))</f>
        <v/>
      </c>
      <c r="AA262" s="149"/>
      <c r="AB262" s="149"/>
      <c r="AC262" s="149"/>
      <c r="AD262" s="149"/>
      <c r="AE262" s="153"/>
    </row>
    <row r="263" spans="11:31" s="150" customFormat="1" ht="12">
      <c r="K263" s="154"/>
      <c r="L263" s="154"/>
      <c r="M263" s="151"/>
      <c r="P263" s="152"/>
      <c r="Q263" s="157"/>
      <c r="R263" s="152"/>
      <c r="S263" s="157"/>
      <c r="T263" s="152"/>
      <c r="U263" s="157"/>
      <c r="V263" s="151"/>
      <c r="W263" s="151"/>
      <c r="X263" s="155" t="str">
        <f t="shared" si="5"/>
        <v/>
      </c>
      <c r="Y263" s="152"/>
      <c r="Z263" s="158" t="str">
        <f>IF(ISERROR(VLOOKUP(Y263,'4 - SGs'!$A$4:$E$24,2)),"",VLOOKUP(Y263,'4 - SGs'!$A$4:$E$24,2))</f>
        <v/>
      </c>
      <c r="AA263" s="149"/>
      <c r="AB263" s="149"/>
      <c r="AC263" s="149"/>
      <c r="AD263" s="149"/>
      <c r="AE263" s="153"/>
    </row>
    <row r="264" spans="11:31" s="150" customFormat="1" ht="12">
      <c r="K264" s="154"/>
      <c r="L264" s="154"/>
      <c r="M264" s="151"/>
      <c r="P264" s="152"/>
      <c r="Q264" s="157"/>
      <c r="R264" s="152"/>
      <c r="S264" s="157"/>
      <c r="T264" s="152"/>
      <c r="U264" s="157"/>
      <c r="V264" s="151"/>
      <c r="W264" s="151"/>
      <c r="X264" s="155" t="str">
        <f t="shared" si="5"/>
        <v/>
      </c>
      <c r="Y264" s="152"/>
      <c r="Z264" s="158" t="str">
        <f>IF(ISERROR(VLOOKUP(Y264,'4 - SGs'!$A$4:$E$24,2)),"",VLOOKUP(Y264,'4 - SGs'!$A$4:$E$24,2))</f>
        <v/>
      </c>
      <c r="AA264" s="149"/>
      <c r="AB264" s="149"/>
      <c r="AC264" s="149"/>
      <c r="AD264" s="149"/>
      <c r="AE264" s="153"/>
    </row>
    <row r="265" spans="11:31" s="150" customFormat="1" ht="12">
      <c r="K265" s="154"/>
      <c r="L265" s="154"/>
      <c r="M265" s="151"/>
      <c r="P265" s="152"/>
      <c r="Q265" s="157"/>
      <c r="R265" s="152"/>
      <c r="S265" s="157"/>
      <c r="T265" s="152"/>
      <c r="U265" s="157"/>
      <c r="V265" s="151"/>
      <c r="W265" s="151"/>
      <c r="X265" s="155" t="str">
        <f t="shared" si="5"/>
        <v/>
      </c>
      <c r="Y265" s="152"/>
      <c r="Z265" s="158" t="str">
        <f>IF(ISERROR(VLOOKUP(Y265,'4 - SGs'!$A$4:$E$24,2)),"",VLOOKUP(Y265,'4 - SGs'!$A$4:$E$24,2))</f>
        <v/>
      </c>
      <c r="AA265" s="149"/>
      <c r="AB265" s="149"/>
      <c r="AC265" s="149"/>
      <c r="AD265" s="149"/>
      <c r="AE265" s="153"/>
    </row>
    <row r="266" spans="11:31" s="150" customFormat="1" ht="12">
      <c r="K266" s="154"/>
      <c r="L266" s="154"/>
      <c r="M266" s="151"/>
      <c r="P266" s="152"/>
      <c r="Q266" s="157"/>
      <c r="R266" s="152"/>
      <c r="S266" s="157"/>
      <c r="T266" s="152"/>
      <c r="U266" s="157"/>
      <c r="V266" s="151"/>
      <c r="W266" s="151"/>
      <c r="X266" s="155" t="str">
        <f t="shared" si="5"/>
        <v/>
      </c>
      <c r="Y266" s="152"/>
      <c r="Z266" s="158" t="str">
        <f>IF(ISERROR(VLOOKUP(Y266,'4 - SGs'!$A$4:$E$24,2)),"",VLOOKUP(Y266,'4 - SGs'!$A$4:$E$24,2))</f>
        <v/>
      </c>
      <c r="AA266" s="149"/>
      <c r="AB266" s="149"/>
      <c r="AC266" s="149"/>
      <c r="AD266" s="149"/>
      <c r="AE266" s="153"/>
    </row>
    <row r="267" spans="11:31" s="150" customFormat="1" ht="12">
      <c r="K267" s="154"/>
      <c r="L267" s="154"/>
      <c r="M267" s="151"/>
      <c r="P267" s="152"/>
      <c r="Q267" s="157"/>
      <c r="R267" s="152"/>
      <c r="S267" s="157"/>
      <c r="T267" s="152"/>
      <c r="U267" s="157"/>
      <c r="V267" s="151"/>
      <c r="W267" s="151"/>
      <c r="X267" s="155" t="str">
        <f t="shared" si="5"/>
        <v/>
      </c>
      <c r="Y267" s="152"/>
      <c r="Z267" s="158" t="str">
        <f>IF(ISERROR(VLOOKUP(Y267,'4 - SGs'!$A$4:$E$24,2)),"",VLOOKUP(Y267,'4 - SGs'!$A$4:$E$24,2))</f>
        <v/>
      </c>
      <c r="AA267" s="149"/>
      <c r="AB267" s="149"/>
      <c r="AC267" s="149"/>
      <c r="AD267" s="149"/>
      <c r="AE267" s="153"/>
    </row>
    <row r="268" spans="11:31" s="150" customFormat="1" ht="12">
      <c r="K268" s="154"/>
      <c r="L268" s="154"/>
      <c r="M268" s="151"/>
      <c r="P268" s="152"/>
      <c r="Q268" s="157"/>
      <c r="R268" s="152"/>
      <c r="S268" s="157"/>
      <c r="T268" s="152"/>
      <c r="U268" s="157"/>
      <c r="V268" s="151"/>
      <c r="W268" s="151"/>
      <c r="X268" s="155" t="str">
        <f t="shared" si="5"/>
        <v/>
      </c>
      <c r="Y268" s="152"/>
      <c r="Z268" s="158" t="str">
        <f>IF(ISERROR(VLOOKUP(Y268,'4 - SGs'!$A$4:$E$24,2)),"",VLOOKUP(Y268,'4 - SGs'!$A$4:$E$24,2))</f>
        <v/>
      </c>
      <c r="AA268" s="149"/>
      <c r="AB268" s="149"/>
      <c r="AC268" s="149"/>
      <c r="AD268" s="149"/>
      <c r="AE268" s="153"/>
    </row>
    <row r="269" spans="11:31" s="150" customFormat="1" ht="12">
      <c r="K269" s="154"/>
      <c r="L269" s="154"/>
      <c r="M269" s="151"/>
      <c r="P269" s="152"/>
      <c r="Q269" s="157"/>
      <c r="R269" s="152"/>
      <c r="S269" s="157"/>
      <c r="T269" s="152"/>
      <c r="U269" s="157"/>
      <c r="V269" s="151"/>
      <c r="W269" s="151"/>
      <c r="X269" s="155" t="str">
        <f t="shared" si="5"/>
        <v/>
      </c>
      <c r="Y269" s="152"/>
      <c r="Z269" s="158" t="str">
        <f>IF(ISERROR(VLOOKUP(Y269,'4 - SGs'!$A$4:$E$24,2)),"",VLOOKUP(Y269,'4 - SGs'!$A$4:$E$24,2))</f>
        <v/>
      </c>
      <c r="AA269" s="149"/>
      <c r="AB269" s="149"/>
      <c r="AC269" s="149"/>
      <c r="AD269" s="149"/>
      <c r="AE269" s="153"/>
    </row>
    <row r="270" spans="11:31" s="150" customFormat="1" ht="12">
      <c r="K270" s="154"/>
      <c r="L270" s="154"/>
      <c r="M270" s="151"/>
      <c r="P270" s="152"/>
      <c r="Q270" s="157"/>
      <c r="R270" s="152"/>
      <c r="S270" s="157"/>
      <c r="T270" s="152"/>
      <c r="U270" s="157"/>
      <c r="V270" s="151"/>
      <c r="W270" s="151"/>
      <c r="X270" s="155" t="str">
        <f t="shared" si="5"/>
        <v/>
      </c>
      <c r="Y270" s="152"/>
      <c r="Z270" s="158" t="str">
        <f>IF(ISERROR(VLOOKUP(Y270,'4 - SGs'!$A$4:$E$24,2)),"",VLOOKUP(Y270,'4 - SGs'!$A$4:$E$24,2))</f>
        <v/>
      </c>
      <c r="AA270" s="149"/>
      <c r="AB270" s="149"/>
      <c r="AC270" s="149"/>
      <c r="AD270" s="149"/>
      <c r="AE270" s="153"/>
    </row>
    <row r="271" spans="11:31" s="150" customFormat="1" ht="12">
      <c r="K271" s="154"/>
      <c r="L271" s="154"/>
      <c r="M271" s="151"/>
      <c r="P271" s="152"/>
      <c r="Q271" s="157"/>
      <c r="R271" s="152"/>
      <c r="S271" s="157"/>
      <c r="T271" s="152"/>
      <c r="U271" s="157"/>
      <c r="V271" s="151"/>
      <c r="W271" s="151"/>
      <c r="X271" s="155" t="str">
        <f t="shared" si="5"/>
        <v/>
      </c>
      <c r="Y271" s="152"/>
      <c r="Z271" s="158" t="str">
        <f>IF(ISERROR(VLOOKUP(Y271,'4 - SGs'!$A$4:$E$24,2)),"",VLOOKUP(Y271,'4 - SGs'!$A$4:$E$24,2))</f>
        <v/>
      </c>
      <c r="AA271" s="149"/>
      <c r="AB271" s="149"/>
      <c r="AC271" s="149"/>
      <c r="AD271" s="149"/>
      <c r="AE271" s="153"/>
    </row>
    <row r="272" spans="11:31" s="150" customFormat="1" ht="12">
      <c r="K272" s="154"/>
      <c r="L272" s="154"/>
      <c r="M272" s="151"/>
      <c r="P272" s="152"/>
      <c r="Q272" s="157"/>
      <c r="R272" s="152"/>
      <c r="S272" s="157"/>
      <c r="T272" s="152"/>
      <c r="U272" s="157"/>
      <c r="V272" s="151"/>
      <c r="W272" s="151"/>
      <c r="X272" s="155" t="str">
        <f t="shared" si="5"/>
        <v/>
      </c>
      <c r="Y272" s="152"/>
      <c r="Z272" s="158" t="str">
        <f>IF(ISERROR(VLOOKUP(Y272,'4 - SGs'!$A$4:$E$24,2)),"",VLOOKUP(Y272,'4 - SGs'!$A$4:$E$24,2))</f>
        <v/>
      </c>
      <c r="AA272" s="149"/>
      <c r="AB272" s="149"/>
      <c r="AC272" s="149"/>
      <c r="AD272" s="149"/>
      <c r="AE272" s="153"/>
    </row>
    <row r="273" spans="11:31" s="150" customFormat="1" ht="12">
      <c r="K273" s="154"/>
      <c r="L273" s="154"/>
      <c r="M273" s="151"/>
      <c r="P273" s="152"/>
      <c r="Q273" s="157"/>
      <c r="R273" s="152"/>
      <c r="S273" s="157"/>
      <c r="T273" s="152"/>
      <c r="U273" s="157"/>
      <c r="V273" s="151"/>
      <c r="W273" s="151"/>
      <c r="X273" s="155" t="str">
        <f t="shared" si="5"/>
        <v/>
      </c>
      <c r="Y273" s="152"/>
      <c r="Z273" s="158" t="str">
        <f>IF(ISERROR(VLOOKUP(Y273,'4 - SGs'!$A$4:$E$24,2)),"",VLOOKUP(Y273,'4 - SGs'!$A$4:$E$24,2))</f>
        <v/>
      </c>
      <c r="AA273" s="149"/>
      <c r="AB273" s="149"/>
      <c r="AC273" s="149"/>
      <c r="AD273" s="149"/>
      <c r="AE273" s="153"/>
    </row>
    <row r="274" spans="11:31" s="150" customFormat="1" ht="12">
      <c r="K274" s="154"/>
      <c r="L274" s="154"/>
      <c r="M274" s="151"/>
      <c r="P274" s="152"/>
      <c r="Q274" s="157"/>
      <c r="R274" s="152"/>
      <c r="S274" s="157"/>
      <c r="T274" s="152"/>
      <c r="U274" s="157"/>
      <c r="V274" s="151"/>
      <c r="W274" s="151"/>
      <c r="X274" s="155" t="str">
        <f t="shared" si="5"/>
        <v/>
      </c>
      <c r="Y274" s="152"/>
      <c r="Z274" s="158" t="str">
        <f>IF(ISERROR(VLOOKUP(Y274,'4 - SGs'!$A$4:$E$24,2)),"",VLOOKUP(Y274,'4 - SGs'!$A$4:$E$24,2))</f>
        <v/>
      </c>
      <c r="AA274" s="149"/>
      <c r="AB274" s="149"/>
      <c r="AC274" s="149"/>
      <c r="AD274" s="149"/>
      <c r="AE274" s="153"/>
    </row>
    <row r="275" spans="11:31" s="150" customFormat="1" ht="12">
      <c r="K275" s="154"/>
      <c r="L275" s="154"/>
      <c r="M275" s="151"/>
      <c r="P275" s="152"/>
      <c r="Q275" s="157"/>
      <c r="R275" s="152"/>
      <c r="S275" s="157"/>
      <c r="T275" s="152"/>
      <c r="U275" s="157"/>
      <c r="V275" s="151"/>
      <c r="W275" s="151"/>
      <c r="X275" s="155" t="str">
        <f t="shared" si="5"/>
        <v/>
      </c>
      <c r="Y275" s="152"/>
      <c r="Z275" s="158" t="str">
        <f>IF(ISERROR(VLOOKUP(Y275,'4 - SGs'!$A$4:$E$24,2)),"",VLOOKUP(Y275,'4 - SGs'!$A$4:$E$24,2))</f>
        <v/>
      </c>
      <c r="AA275" s="149"/>
      <c r="AB275" s="149"/>
      <c r="AC275" s="149"/>
      <c r="AD275" s="149"/>
      <c r="AE275" s="153"/>
    </row>
    <row r="276" spans="11:31" s="150" customFormat="1" ht="12">
      <c r="K276" s="154"/>
      <c r="L276" s="154"/>
      <c r="M276" s="151"/>
      <c r="P276" s="152"/>
      <c r="Q276" s="157"/>
      <c r="R276" s="152"/>
      <c r="S276" s="157"/>
      <c r="T276" s="152"/>
      <c r="U276" s="157"/>
      <c r="V276" s="151"/>
      <c r="W276" s="151"/>
      <c r="X276" s="155" t="str">
        <f t="shared" si="5"/>
        <v/>
      </c>
      <c r="Y276" s="152"/>
      <c r="Z276" s="158" t="str">
        <f>IF(ISERROR(VLOOKUP(Y276,'4 - SGs'!$A$4:$E$24,2)),"",VLOOKUP(Y276,'4 - SGs'!$A$4:$E$24,2))</f>
        <v/>
      </c>
      <c r="AA276" s="149"/>
      <c r="AB276" s="149"/>
      <c r="AC276" s="149"/>
      <c r="AD276" s="149"/>
      <c r="AE276" s="153"/>
    </row>
    <row r="277" spans="11:31" s="150" customFormat="1" ht="12">
      <c r="K277" s="154"/>
      <c r="L277" s="154"/>
      <c r="M277" s="151"/>
      <c r="P277" s="152"/>
      <c r="Q277" s="157"/>
      <c r="R277" s="152"/>
      <c r="S277" s="157"/>
      <c r="T277" s="152"/>
      <c r="U277" s="157"/>
      <c r="V277" s="151"/>
      <c r="W277" s="151"/>
      <c r="X277" s="155" t="str">
        <f t="shared" si="5"/>
        <v/>
      </c>
      <c r="Y277" s="152"/>
      <c r="Z277" s="158" t="str">
        <f>IF(ISERROR(VLOOKUP(Y277,'4 - SGs'!$A$4:$E$24,2)),"",VLOOKUP(Y277,'4 - SGs'!$A$4:$E$24,2))</f>
        <v/>
      </c>
      <c r="AA277" s="149"/>
      <c r="AB277" s="149"/>
      <c r="AC277" s="149"/>
      <c r="AD277" s="149"/>
      <c r="AE277" s="153"/>
    </row>
    <row r="278" spans="11:31" s="150" customFormat="1" ht="12">
      <c r="K278" s="154"/>
      <c r="L278" s="154"/>
      <c r="M278" s="151"/>
      <c r="P278" s="152"/>
      <c r="Q278" s="157"/>
      <c r="R278" s="152"/>
      <c r="S278" s="157"/>
      <c r="T278" s="152"/>
      <c r="U278" s="157"/>
      <c r="V278" s="151"/>
      <c r="W278" s="151"/>
      <c r="X278" s="155" t="str">
        <f t="shared" si="5"/>
        <v/>
      </c>
      <c r="Y278" s="152"/>
      <c r="Z278" s="158" t="str">
        <f>IF(ISERROR(VLOOKUP(Y278,'4 - SGs'!$A$4:$E$24,2)),"",VLOOKUP(Y278,'4 - SGs'!$A$4:$E$24,2))</f>
        <v/>
      </c>
      <c r="AA278" s="149"/>
      <c r="AB278" s="149"/>
      <c r="AC278" s="149"/>
      <c r="AD278" s="149"/>
      <c r="AE278" s="153"/>
    </row>
    <row r="279" spans="11:31" s="150" customFormat="1" ht="12">
      <c r="K279" s="154"/>
      <c r="L279" s="154"/>
      <c r="M279" s="151"/>
      <c r="P279" s="152"/>
      <c r="Q279" s="157"/>
      <c r="R279" s="152"/>
      <c r="S279" s="157"/>
      <c r="T279" s="152"/>
      <c r="U279" s="157"/>
      <c r="V279" s="151"/>
      <c r="W279" s="151"/>
      <c r="X279" s="155" t="str">
        <f t="shared" si="5"/>
        <v/>
      </c>
      <c r="Y279" s="152"/>
      <c r="Z279" s="158" t="str">
        <f>IF(ISERROR(VLOOKUP(Y279,'4 - SGs'!$A$4:$E$24,2)),"",VLOOKUP(Y279,'4 - SGs'!$A$4:$E$24,2))</f>
        <v/>
      </c>
      <c r="AA279" s="149"/>
      <c r="AB279" s="149"/>
      <c r="AC279" s="149"/>
      <c r="AD279" s="149"/>
      <c r="AE279" s="153"/>
    </row>
    <row r="280" spans="11:31" s="150" customFormat="1" ht="12">
      <c r="K280" s="154"/>
      <c r="L280" s="154"/>
      <c r="M280" s="151"/>
      <c r="P280" s="152"/>
      <c r="Q280" s="157"/>
      <c r="R280" s="152"/>
      <c r="S280" s="157"/>
      <c r="T280" s="152"/>
      <c r="U280" s="157"/>
      <c r="V280" s="151"/>
      <c r="W280" s="151"/>
      <c r="X280" s="155" t="str">
        <f t="shared" si="5"/>
        <v/>
      </c>
      <c r="Y280" s="152"/>
      <c r="Z280" s="158" t="str">
        <f>IF(ISERROR(VLOOKUP(Y280,'4 - SGs'!$A$4:$E$24,2)),"",VLOOKUP(Y280,'4 - SGs'!$A$4:$E$24,2))</f>
        <v/>
      </c>
      <c r="AA280" s="149"/>
      <c r="AB280" s="149"/>
      <c r="AC280" s="149"/>
      <c r="AD280" s="149"/>
      <c r="AE280" s="153"/>
    </row>
    <row r="281" spans="11:31" s="150" customFormat="1" ht="12">
      <c r="K281" s="154"/>
      <c r="L281" s="154"/>
      <c r="M281" s="151"/>
      <c r="P281" s="152"/>
      <c r="Q281" s="157"/>
      <c r="R281" s="152"/>
      <c r="S281" s="157"/>
      <c r="T281" s="152"/>
      <c r="U281" s="157"/>
      <c r="V281" s="151"/>
      <c r="W281" s="151"/>
      <c r="X281" s="155" t="str">
        <f t="shared" si="5"/>
        <v/>
      </c>
      <c r="Y281" s="152"/>
      <c r="Z281" s="158" t="str">
        <f>IF(ISERROR(VLOOKUP(Y281,'4 - SGs'!$A$4:$E$24,2)),"",VLOOKUP(Y281,'4 - SGs'!$A$4:$E$24,2))</f>
        <v/>
      </c>
      <c r="AA281" s="149"/>
      <c r="AB281" s="149"/>
      <c r="AC281" s="149"/>
      <c r="AD281" s="149"/>
      <c r="AE281" s="153"/>
    </row>
    <row r="282" spans="11:31" s="150" customFormat="1" ht="12">
      <c r="K282" s="154"/>
      <c r="L282" s="154"/>
      <c r="M282" s="151"/>
      <c r="P282" s="152"/>
      <c r="Q282" s="157"/>
      <c r="R282" s="152"/>
      <c r="S282" s="157"/>
      <c r="T282" s="152"/>
      <c r="U282" s="157"/>
      <c r="V282" s="151"/>
      <c r="W282" s="151"/>
      <c r="X282" s="155" t="str">
        <f t="shared" si="5"/>
        <v/>
      </c>
      <c r="Y282" s="152"/>
      <c r="Z282" s="158" t="str">
        <f>IF(ISERROR(VLOOKUP(Y282,'4 - SGs'!$A$4:$E$24,2)),"",VLOOKUP(Y282,'4 - SGs'!$A$4:$E$24,2))</f>
        <v/>
      </c>
      <c r="AA282" s="149"/>
      <c r="AB282" s="149"/>
      <c r="AC282" s="149"/>
      <c r="AD282" s="149"/>
      <c r="AE282" s="153"/>
    </row>
    <row r="283" spans="11:31" s="150" customFormat="1" ht="12">
      <c r="K283" s="154"/>
      <c r="L283" s="154"/>
      <c r="M283" s="151"/>
      <c r="P283" s="152"/>
      <c r="Q283" s="157"/>
      <c r="R283" s="152"/>
      <c r="S283" s="157"/>
      <c r="T283" s="152"/>
      <c r="U283" s="157"/>
      <c r="V283" s="151"/>
      <c r="W283" s="151"/>
      <c r="X283" s="155" t="str">
        <f t="shared" si="5"/>
        <v/>
      </c>
      <c r="Y283" s="152"/>
      <c r="Z283" s="158" t="str">
        <f>IF(ISERROR(VLOOKUP(Y283,'4 - SGs'!$A$4:$E$24,2)),"",VLOOKUP(Y283,'4 - SGs'!$A$4:$E$24,2))</f>
        <v/>
      </c>
      <c r="AA283" s="149"/>
      <c r="AB283" s="149"/>
      <c r="AC283" s="149"/>
      <c r="AD283" s="149"/>
      <c r="AE283" s="153"/>
    </row>
    <row r="284" spans="11:31" s="150" customFormat="1" ht="12">
      <c r="K284" s="154"/>
      <c r="L284" s="154"/>
      <c r="M284" s="151"/>
      <c r="P284" s="152"/>
      <c r="Q284" s="157"/>
      <c r="R284" s="152"/>
      <c r="S284" s="157"/>
      <c r="T284" s="152"/>
      <c r="U284" s="157"/>
      <c r="V284" s="151"/>
      <c r="W284" s="151"/>
      <c r="X284" s="155" t="str">
        <f t="shared" si="5"/>
        <v/>
      </c>
      <c r="Y284" s="152"/>
      <c r="Z284" s="158" t="str">
        <f>IF(ISERROR(VLOOKUP(Y284,'4 - SGs'!$A$4:$E$24,2)),"",VLOOKUP(Y284,'4 - SGs'!$A$4:$E$24,2))</f>
        <v/>
      </c>
      <c r="AA284" s="149"/>
      <c r="AB284" s="149"/>
      <c r="AC284" s="149"/>
      <c r="AD284" s="149"/>
      <c r="AE284" s="153"/>
    </row>
    <row r="285" spans="11:31" s="150" customFormat="1" ht="12">
      <c r="K285" s="154"/>
      <c r="L285" s="154"/>
      <c r="M285" s="151"/>
      <c r="P285" s="152"/>
      <c r="Q285" s="157"/>
      <c r="R285" s="152"/>
      <c r="S285" s="157"/>
      <c r="T285" s="152"/>
      <c r="U285" s="157"/>
      <c r="V285" s="151"/>
      <c r="W285" s="151"/>
      <c r="X285" s="155" t="str">
        <f t="shared" si="5"/>
        <v/>
      </c>
      <c r="Y285" s="152"/>
      <c r="Z285" s="158" t="str">
        <f>IF(ISERROR(VLOOKUP(Y285,'4 - SGs'!$A$4:$E$24,2)),"",VLOOKUP(Y285,'4 - SGs'!$A$4:$E$24,2))</f>
        <v/>
      </c>
      <c r="AA285" s="149"/>
      <c r="AB285" s="149"/>
      <c r="AC285" s="149"/>
      <c r="AD285" s="149"/>
      <c r="AE285" s="153"/>
    </row>
    <row r="286" spans="11:31" s="150" customFormat="1" ht="12">
      <c r="K286" s="154"/>
      <c r="L286" s="154"/>
      <c r="M286" s="151"/>
      <c r="P286" s="152"/>
      <c r="Q286" s="157"/>
      <c r="R286" s="152"/>
      <c r="S286" s="157"/>
      <c r="T286" s="152"/>
      <c r="U286" s="157"/>
      <c r="V286" s="151"/>
      <c r="W286" s="151"/>
      <c r="X286" s="155" t="str">
        <f t="shared" si="5"/>
        <v/>
      </c>
      <c r="Y286" s="152"/>
      <c r="Z286" s="158" t="str">
        <f>IF(ISERROR(VLOOKUP(Y286,'4 - SGs'!$A$4:$E$24,2)),"",VLOOKUP(Y286,'4 - SGs'!$A$4:$E$24,2))</f>
        <v/>
      </c>
      <c r="AA286" s="149"/>
      <c r="AB286" s="149"/>
      <c r="AC286" s="149"/>
      <c r="AD286" s="149"/>
      <c r="AE286" s="153"/>
    </row>
    <row r="287" spans="11:31" s="150" customFormat="1" ht="12">
      <c r="K287" s="154"/>
      <c r="L287" s="154"/>
      <c r="M287" s="151"/>
      <c r="P287" s="152"/>
      <c r="Q287" s="157"/>
      <c r="R287" s="152"/>
      <c r="S287" s="157"/>
      <c r="T287" s="152"/>
      <c r="U287" s="157"/>
      <c r="V287" s="151"/>
      <c r="W287" s="151"/>
      <c r="X287" s="155" t="str">
        <f t="shared" si="5"/>
        <v/>
      </c>
      <c r="Y287" s="152"/>
      <c r="Z287" s="158" t="str">
        <f>IF(ISERROR(VLOOKUP(Y287,'4 - SGs'!$A$4:$E$24,2)),"",VLOOKUP(Y287,'4 - SGs'!$A$4:$E$24,2))</f>
        <v/>
      </c>
      <c r="AA287" s="149"/>
      <c r="AB287" s="149"/>
      <c r="AC287" s="149"/>
      <c r="AD287" s="149"/>
      <c r="AE287" s="153"/>
    </row>
    <row r="288" spans="11:31" s="150" customFormat="1" ht="12">
      <c r="K288" s="154"/>
      <c r="L288" s="154"/>
      <c r="M288" s="151"/>
      <c r="P288" s="152"/>
      <c r="Q288" s="157"/>
      <c r="R288" s="152"/>
      <c r="S288" s="157"/>
      <c r="T288" s="152"/>
      <c r="U288" s="157"/>
      <c r="V288" s="151"/>
      <c r="W288" s="151"/>
      <c r="X288" s="155" t="str">
        <f t="shared" si="5"/>
        <v/>
      </c>
      <c r="Y288" s="152"/>
      <c r="Z288" s="158" t="str">
        <f>IF(ISERROR(VLOOKUP(Y288,'4 - SGs'!$A$4:$E$24,2)),"",VLOOKUP(Y288,'4 - SGs'!$A$4:$E$24,2))</f>
        <v/>
      </c>
      <c r="AA288" s="149"/>
      <c r="AB288" s="149"/>
      <c r="AC288" s="149"/>
      <c r="AD288" s="149"/>
      <c r="AE288" s="153"/>
    </row>
    <row r="289" spans="11:31" s="150" customFormat="1" ht="12">
      <c r="K289" s="154"/>
      <c r="L289" s="154"/>
      <c r="M289" s="151"/>
      <c r="P289" s="152"/>
      <c r="Q289" s="157"/>
      <c r="R289" s="152"/>
      <c r="S289" s="157"/>
      <c r="T289" s="152"/>
      <c r="U289" s="157"/>
      <c r="V289" s="151"/>
      <c r="W289" s="151"/>
      <c r="X289" s="155" t="str">
        <f t="shared" si="5"/>
        <v/>
      </c>
      <c r="Y289" s="152"/>
      <c r="Z289" s="158" t="str">
        <f>IF(ISERROR(VLOOKUP(Y289,'4 - SGs'!$A$4:$E$24,2)),"",VLOOKUP(Y289,'4 - SGs'!$A$4:$E$24,2))</f>
        <v/>
      </c>
      <c r="AA289" s="149"/>
      <c r="AB289" s="149"/>
      <c r="AC289" s="149"/>
      <c r="AD289" s="149"/>
      <c r="AE289" s="153"/>
    </row>
    <row r="290" spans="11:31" s="150" customFormat="1" ht="12">
      <c r="K290" s="154"/>
      <c r="L290" s="154"/>
      <c r="M290" s="151"/>
      <c r="P290" s="152"/>
      <c r="Q290" s="157"/>
      <c r="R290" s="152"/>
      <c r="S290" s="157"/>
      <c r="T290" s="152"/>
      <c r="U290" s="157"/>
      <c r="V290" s="151"/>
      <c r="W290" s="151"/>
      <c r="X290" s="155" t="str">
        <f t="shared" si="5"/>
        <v/>
      </c>
      <c r="Y290" s="152"/>
      <c r="Z290" s="158" t="str">
        <f>IF(ISERROR(VLOOKUP(Y290,'4 - SGs'!$A$4:$E$24,2)),"",VLOOKUP(Y290,'4 - SGs'!$A$4:$E$24,2))</f>
        <v/>
      </c>
      <c r="AA290" s="149"/>
      <c r="AB290" s="149"/>
      <c r="AC290" s="149"/>
      <c r="AD290" s="149"/>
      <c r="AE290" s="153"/>
    </row>
    <row r="291" spans="11:31" s="150" customFormat="1" ht="12">
      <c r="K291" s="154"/>
      <c r="L291" s="154"/>
      <c r="M291" s="151"/>
      <c r="P291" s="152"/>
      <c r="Q291" s="157"/>
      <c r="R291" s="152"/>
      <c r="S291" s="157"/>
      <c r="T291" s="152"/>
      <c r="U291" s="157"/>
      <c r="V291" s="151"/>
      <c r="W291" s="151"/>
      <c r="X291" s="155" t="str">
        <f t="shared" si="5"/>
        <v/>
      </c>
      <c r="Y291" s="152"/>
      <c r="Z291" s="158" t="str">
        <f>IF(ISERROR(VLOOKUP(Y291,'4 - SGs'!$A$4:$E$24,2)),"",VLOOKUP(Y291,'4 - SGs'!$A$4:$E$24,2))</f>
        <v/>
      </c>
      <c r="AA291" s="149"/>
      <c r="AB291" s="149"/>
      <c r="AC291" s="149"/>
      <c r="AD291" s="149"/>
      <c r="AE291" s="153"/>
    </row>
    <row r="292" spans="11:31" s="150" customFormat="1" ht="12">
      <c r="K292" s="154"/>
      <c r="L292" s="154"/>
      <c r="M292" s="151"/>
      <c r="P292" s="152"/>
      <c r="Q292" s="157"/>
      <c r="R292" s="152"/>
      <c r="S292" s="157"/>
      <c r="T292" s="152"/>
      <c r="U292" s="157"/>
      <c r="V292" s="151"/>
      <c r="W292" s="151"/>
      <c r="X292" s="155" t="str">
        <f t="shared" si="5"/>
        <v/>
      </c>
      <c r="Y292" s="152"/>
      <c r="Z292" s="158" t="str">
        <f>IF(ISERROR(VLOOKUP(Y292,'4 - SGs'!$A$4:$E$24,2)),"",VLOOKUP(Y292,'4 - SGs'!$A$4:$E$24,2))</f>
        <v/>
      </c>
      <c r="AA292" s="149"/>
      <c r="AB292" s="149"/>
      <c r="AC292" s="149"/>
      <c r="AD292" s="149"/>
      <c r="AE292" s="153"/>
    </row>
    <row r="293" spans="11:31" s="150" customFormat="1" ht="12">
      <c r="K293" s="154"/>
      <c r="L293" s="154"/>
      <c r="M293" s="151"/>
      <c r="P293" s="152"/>
      <c r="Q293" s="157"/>
      <c r="R293" s="152"/>
      <c r="S293" s="157"/>
      <c r="T293" s="152"/>
      <c r="U293" s="157"/>
      <c r="V293" s="151"/>
      <c r="W293" s="151"/>
      <c r="X293" s="155" t="str">
        <f t="shared" si="5"/>
        <v/>
      </c>
      <c r="Y293" s="152"/>
      <c r="Z293" s="158" t="str">
        <f>IF(ISERROR(VLOOKUP(Y293,'4 - SGs'!$A$4:$E$24,2)),"",VLOOKUP(Y293,'4 - SGs'!$A$4:$E$24,2))</f>
        <v/>
      </c>
      <c r="AA293" s="149"/>
      <c r="AB293" s="149"/>
      <c r="AC293" s="149"/>
      <c r="AD293" s="149"/>
      <c r="AE293" s="153"/>
    </row>
    <row r="294" spans="11:31" s="150" customFormat="1" ht="12">
      <c r="K294" s="154"/>
      <c r="L294" s="154"/>
      <c r="M294" s="151"/>
      <c r="P294" s="152"/>
      <c r="Q294" s="157"/>
      <c r="R294" s="152"/>
      <c r="S294" s="157"/>
      <c r="T294" s="152"/>
      <c r="U294" s="157"/>
      <c r="V294" s="151"/>
      <c r="W294" s="151"/>
      <c r="X294" s="155" t="str">
        <f t="shared" si="5"/>
        <v/>
      </c>
      <c r="Y294" s="152"/>
      <c r="Z294" s="158" t="str">
        <f>IF(ISERROR(VLOOKUP(Y294,'4 - SGs'!$A$4:$E$24,2)),"",VLOOKUP(Y294,'4 - SGs'!$A$4:$E$24,2))</f>
        <v/>
      </c>
      <c r="AA294" s="149"/>
      <c r="AB294" s="149"/>
      <c r="AC294" s="149"/>
      <c r="AD294" s="149"/>
      <c r="AE294" s="153"/>
    </row>
    <row r="295" spans="11:31" s="150" customFormat="1" ht="12">
      <c r="K295" s="154"/>
      <c r="L295" s="154"/>
      <c r="M295" s="151"/>
      <c r="P295" s="152"/>
      <c r="Q295" s="157"/>
      <c r="R295" s="152"/>
      <c r="S295" s="157"/>
      <c r="T295" s="152"/>
      <c r="U295" s="157"/>
      <c r="V295" s="151"/>
      <c r="W295" s="151"/>
      <c r="X295" s="155" t="str">
        <f t="shared" si="5"/>
        <v/>
      </c>
      <c r="Y295" s="152"/>
      <c r="Z295" s="158" t="str">
        <f>IF(ISERROR(VLOOKUP(Y295,'4 - SGs'!$A$4:$E$24,2)),"",VLOOKUP(Y295,'4 - SGs'!$A$4:$E$24,2))</f>
        <v/>
      </c>
      <c r="AA295" s="149"/>
      <c r="AB295" s="149"/>
      <c r="AC295" s="149"/>
      <c r="AD295" s="149"/>
      <c r="AE295" s="153"/>
    </row>
    <row r="296" spans="11:31" s="150" customFormat="1" ht="12">
      <c r="K296" s="154"/>
      <c r="L296" s="154"/>
      <c r="M296" s="151"/>
      <c r="P296" s="152"/>
      <c r="Q296" s="157"/>
      <c r="R296" s="152"/>
      <c r="S296" s="157"/>
      <c r="T296" s="152"/>
      <c r="U296" s="157"/>
      <c r="V296" s="151"/>
      <c r="W296" s="151"/>
      <c r="X296" s="155" t="str">
        <f t="shared" si="5"/>
        <v/>
      </c>
      <c r="Y296" s="152"/>
      <c r="Z296" s="158" t="str">
        <f>IF(ISERROR(VLOOKUP(Y296,'4 - SGs'!$A$4:$E$24,2)),"",VLOOKUP(Y296,'4 - SGs'!$A$4:$E$24,2))</f>
        <v/>
      </c>
      <c r="AA296" s="149"/>
      <c r="AB296" s="149"/>
      <c r="AC296" s="149"/>
      <c r="AD296" s="149"/>
      <c r="AE296" s="153"/>
    </row>
    <row r="297" spans="11:31" s="150" customFormat="1" ht="12">
      <c r="K297" s="154"/>
      <c r="L297" s="154"/>
      <c r="M297" s="151"/>
      <c r="P297" s="152"/>
      <c r="Q297" s="157"/>
      <c r="R297" s="152"/>
      <c r="S297" s="157"/>
      <c r="T297" s="152"/>
      <c r="U297" s="157"/>
      <c r="V297" s="151"/>
      <c r="W297" s="151"/>
      <c r="X297" s="155" t="str">
        <f t="shared" si="5"/>
        <v/>
      </c>
      <c r="Y297" s="152"/>
      <c r="Z297" s="158" t="str">
        <f>IF(ISERROR(VLOOKUP(Y297,'4 - SGs'!$A$4:$E$24,2)),"",VLOOKUP(Y297,'4 - SGs'!$A$4:$E$24,2))</f>
        <v/>
      </c>
      <c r="AA297" s="149"/>
      <c r="AB297" s="149"/>
      <c r="AC297" s="149"/>
      <c r="AD297" s="149"/>
      <c r="AE297" s="153"/>
    </row>
    <row r="298" spans="11:31" s="150" customFormat="1" ht="12">
      <c r="K298" s="154"/>
      <c r="L298" s="154"/>
      <c r="M298" s="151"/>
      <c r="P298" s="152"/>
      <c r="Q298" s="157"/>
      <c r="R298" s="152"/>
      <c r="S298" s="157"/>
      <c r="T298" s="152"/>
      <c r="U298" s="157"/>
      <c r="V298" s="151"/>
      <c r="W298" s="151"/>
      <c r="X298" s="155" t="str">
        <f t="shared" si="5"/>
        <v/>
      </c>
      <c r="Y298" s="152"/>
      <c r="Z298" s="158" t="str">
        <f>IF(ISERROR(VLOOKUP(Y298,'4 - SGs'!$A$4:$E$24,2)),"",VLOOKUP(Y298,'4 - SGs'!$A$4:$E$24,2))</f>
        <v/>
      </c>
      <c r="AA298" s="149"/>
      <c r="AB298" s="149"/>
      <c r="AC298" s="149"/>
      <c r="AD298" s="149"/>
      <c r="AE298" s="153"/>
    </row>
    <row r="299" spans="11:31" s="150" customFormat="1" ht="12">
      <c r="K299" s="154"/>
      <c r="L299" s="154"/>
      <c r="M299" s="151"/>
      <c r="P299" s="152"/>
      <c r="Q299" s="157"/>
      <c r="R299" s="152"/>
      <c r="S299" s="157"/>
      <c r="T299" s="152"/>
      <c r="U299" s="157"/>
      <c r="V299" s="151"/>
      <c r="W299" s="151"/>
      <c r="X299" s="155" t="str">
        <f t="shared" si="5"/>
        <v/>
      </c>
      <c r="Y299" s="152"/>
      <c r="Z299" s="158" t="str">
        <f>IF(ISERROR(VLOOKUP(Y299,'4 - SGs'!$A$4:$E$24,2)),"",VLOOKUP(Y299,'4 - SGs'!$A$4:$E$24,2))</f>
        <v/>
      </c>
      <c r="AA299" s="149"/>
      <c r="AB299" s="149"/>
      <c r="AC299" s="149"/>
      <c r="AD299" s="149"/>
      <c r="AE299" s="153"/>
    </row>
    <row r="300" spans="11:31" s="150" customFormat="1" ht="12">
      <c r="K300" s="154"/>
      <c r="L300" s="154"/>
      <c r="M300" s="151"/>
      <c r="P300" s="152"/>
      <c r="Q300" s="157"/>
      <c r="R300" s="152"/>
      <c r="S300" s="157"/>
      <c r="T300" s="152"/>
      <c r="U300" s="157"/>
      <c r="V300" s="151"/>
      <c r="W300" s="151"/>
      <c r="X300" s="155" t="str">
        <f t="shared" si="5"/>
        <v/>
      </c>
      <c r="Y300" s="152"/>
      <c r="Z300" s="158" t="str">
        <f>IF(ISERROR(VLOOKUP(Y300,'4 - SGs'!$A$4:$E$24,2)),"",VLOOKUP(Y300,'4 - SGs'!$A$4:$E$24,2))</f>
        <v/>
      </c>
      <c r="AA300" s="149"/>
      <c r="AB300" s="149"/>
      <c r="AC300" s="149"/>
      <c r="AD300" s="149"/>
      <c r="AE300" s="153"/>
    </row>
    <row r="301" spans="11:31" s="150" customFormat="1" ht="12">
      <c r="K301" s="154"/>
      <c r="L301" s="154"/>
      <c r="M301" s="151"/>
      <c r="P301" s="152"/>
      <c r="Q301" s="157"/>
      <c r="R301" s="152"/>
      <c r="S301" s="157"/>
      <c r="T301" s="152"/>
      <c r="U301" s="157"/>
      <c r="V301" s="151"/>
      <c r="W301" s="151"/>
      <c r="X301" s="155" t="str">
        <f t="shared" si="5"/>
        <v/>
      </c>
      <c r="Y301" s="152"/>
      <c r="Z301" s="158" t="str">
        <f>IF(ISERROR(VLOOKUP(Y301,'4 - SGs'!$A$4:$E$24,2)),"",VLOOKUP(Y301,'4 - SGs'!$A$4:$E$24,2))</f>
        <v/>
      </c>
      <c r="AA301" s="149"/>
      <c r="AB301" s="149"/>
      <c r="AC301" s="149"/>
      <c r="AD301" s="149"/>
      <c r="AE301" s="153"/>
    </row>
    <row r="302" spans="11:31" s="150" customFormat="1" ht="12">
      <c r="K302" s="154"/>
      <c r="L302" s="154"/>
      <c r="M302" s="151"/>
      <c r="P302" s="152"/>
      <c r="Q302" s="157"/>
      <c r="R302" s="152"/>
      <c r="S302" s="157"/>
      <c r="T302" s="152"/>
      <c r="U302" s="157"/>
      <c r="V302" s="151"/>
      <c r="W302" s="151"/>
      <c r="X302" s="155" t="str">
        <f t="shared" si="5"/>
        <v/>
      </c>
      <c r="Y302" s="152"/>
      <c r="Z302" s="158" t="str">
        <f>IF(ISERROR(VLOOKUP(Y302,'4 - SGs'!$A$4:$E$24,2)),"",VLOOKUP(Y302,'4 - SGs'!$A$4:$E$24,2))</f>
        <v/>
      </c>
      <c r="AA302" s="149"/>
      <c r="AB302" s="149"/>
      <c r="AC302" s="149"/>
      <c r="AD302" s="149"/>
      <c r="AE302" s="153"/>
    </row>
    <row r="303" spans="11:31" s="150" customFormat="1" ht="12">
      <c r="K303" s="154"/>
      <c r="L303" s="154"/>
      <c r="M303" s="151"/>
      <c r="P303" s="152"/>
      <c r="Q303" s="157"/>
      <c r="R303" s="152"/>
      <c r="S303" s="157"/>
      <c r="T303" s="152"/>
      <c r="U303" s="157"/>
      <c r="V303" s="151"/>
      <c r="W303" s="151"/>
      <c r="X303" s="155" t="str">
        <f t="shared" si="5"/>
        <v/>
      </c>
      <c r="Y303" s="152"/>
      <c r="Z303" s="158" t="str">
        <f>IF(ISERROR(VLOOKUP(Y303,'4 - SGs'!$A$4:$E$24,2)),"",VLOOKUP(Y303,'4 - SGs'!$A$4:$E$24,2))</f>
        <v/>
      </c>
      <c r="AA303" s="149"/>
      <c r="AB303" s="149"/>
      <c r="AC303" s="149"/>
      <c r="AD303" s="149"/>
      <c r="AE303" s="153"/>
    </row>
    <row r="304" spans="11:31" s="150" customFormat="1" ht="12">
      <c r="K304" s="154"/>
      <c r="L304" s="154"/>
      <c r="M304" s="151"/>
      <c r="P304" s="152"/>
      <c r="Q304" s="157"/>
      <c r="R304" s="152"/>
      <c r="S304" s="157"/>
      <c r="T304" s="152"/>
      <c r="U304" s="157"/>
      <c r="V304" s="151"/>
      <c r="W304" s="151"/>
      <c r="X304" s="155" t="str">
        <f t="shared" si="5"/>
        <v/>
      </c>
      <c r="Y304" s="152"/>
      <c r="Z304" s="158" t="str">
        <f>IF(ISERROR(VLOOKUP(Y304,'4 - SGs'!$A$4:$E$24,2)),"",VLOOKUP(Y304,'4 - SGs'!$A$4:$E$24,2))</f>
        <v/>
      </c>
      <c r="AA304" s="149"/>
      <c r="AB304" s="149"/>
      <c r="AC304" s="149"/>
      <c r="AD304" s="149"/>
      <c r="AE304" s="153"/>
    </row>
    <row r="305" spans="11:31" s="150" customFormat="1" ht="12">
      <c r="K305" s="154"/>
      <c r="L305" s="154"/>
      <c r="M305" s="151"/>
      <c r="P305" s="152"/>
      <c r="Q305" s="157"/>
      <c r="R305" s="152"/>
      <c r="S305" s="157"/>
      <c r="T305" s="152"/>
      <c r="U305" s="157"/>
      <c r="V305" s="151"/>
      <c r="W305" s="151"/>
      <c r="X305" s="155" t="str">
        <f t="shared" si="5"/>
        <v/>
      </c>
      <c r="Y305" s="152"/>
      <c r="Z305" s="158" t="str">
        <f>IF(ISERROR(VLOOKUP(Y305,'4 - SGs'!$A$4:$E$24,2)),"",VLOOKUP(Y305,'4 - SGs'!$A$4:$E$24,2))</f>
        <v/>
      </c>
      <c r="AA305" s="149"/>
      <c r="AB305" s="149"/>
      <c r="AC305" s="149"/>
      <c r="AD305" s="149"/>
      <c r="AE305" s="153"/>
    </row>
    <row r="306" spans="11:31" s="150" customFormat="1" ht="12">
      <c r="K306" s="154"/>
      <c r="L306" s="154"/>
      <c r="M306" s="151"/>
      <c r="P306" s="152"/>
      <c r="Q306" s="157"/>
      <c r="R306" s="152"/>
      <c r="S306" s="157"/>
      <c r="T306" s="152"/>
      <c r="U306" s="157"/>
      <c r="V306" s="151"/>
      <c r="W306" s="151"/>
      <c r="X306" s="155" t="str">
        <f t="shared" si="5"/>
        <v/>
      </c>
      <c r="Y306" s="152"/>
      <c r="Z306" s="158" t="str">
        <f>IF(ISERROR(VLOOKUP(Y306,'4 - SGs'!$A$4:$E$24,2)),"",VLOOKUP(Y306,'4 - SGs'!$A$4:$E$24,2))</f>
        <v/>
      </c>
      <c r="AA306" s="149"/>
      <c r="AB306" s="149"/>
      <c r="AC306" s="149"/>
      <c r="AD306" s="149"/>
      <c r="AE306" s="153"/>
    </row>
    <row r="307" spans="11:31" s="150" customFormat="1" ht="12">
      <c r="K307" s="154"/>
      <c r="L307" s="154"/>
      <c r="M307" s="151"/>
      <c r="P307" s="152"/>
      <c r="Q307" s="157"/>
      <c r="R307" s="152"/>
      <c r="S307" s="157"/>
      <c r="T307" s="152"/>
      <c r="U307" s="157"/>
      <c r="V307" s="151"/>
      <c r="W307" s="151"/>
      <c r="X307" s="155" t="str">
        <f t="shared" si="5"/>
        <v/>
      </c>
      <c r="Y307" s="152"/>
      <c r="Z307" s="158" t="str">
        <f>IF(ISERROR(VLOOKUP(Y307,'4 - SGs'!$A$4:$E$24,2)),"",VLOOKUP(Y307,'4 - SGs'!$A$4:$E$24,2))</f>
        <v/>
      </c>
      <c r="AA307" s="149"/>
      <c r="AB307" s="149"/>
      <c r="AC307" s="149"/>
      <c r="AD307" s="149"/>
      <c r="AE307" s="153"/>
    </row>
    <row r="308" spans="11:31" s="150" customFormat="1" ht="12">
      <c r="K308" s="154"/>
      <c r="L308" s="154"/>
      <c r="M308" s="151"/>
      <c r="P308" s="152"/>
      <c r="Q308" s="157"/>
      <c r="R308" s="152"/>
      <c r="S308" s="157"/>
      <c r="T308" s="152"/>
      <c r="U308" s="157"/>
      <c r="V308" s="151"/>
      <c r="W308" s="151"/>
      <c r="X308" s="155" t="str">
        <f t="shared" si="5"/>
        <v/>
      </c>
      <c r="Y308" s="152"/>
      <c r="Z308" s="158" t="str">
        <f>IF(ISERROR(VLOOKUP(Y308,'4 - SGs'!$A$4:$E$24,2)),"",VLOOKUP(Y308,'4 - SGs'!$A$4:$E$24,2))</f>
        <v/>
      </c>
      <c r="AA308" s="149"/>
      <c r="AB308" s="149"/>
      <c r="AC308" s="149"/>
      <c r="AD308" s="149"/>
      <c r="AE308" s="153"/>
    </row>
    <row r="309" spans="11:31" s="150" customFormat="1" ht="12">
      <c r="K309" s="154"/>
      <c r="L309" s="154"/>
      <c r="M309" s="151"/>
      <c r="P309" s="152"/>
      <c r="Q309" s="157"/>
      <c r="R309" s="152"/>
      <c r="S309" s="157"/>
      <c r="T309" s="152"/>
      <c r="U309" s="157"/>
      <c r="V309" s="151"/>
      <c r="W309" s="151"/>
      <c r="X309" s="155" t="str">
        <f t="shared" si="5"/>
        <v/>
      </c>
      <c r="Y309" s="152"/>
      <c r="Z309" s="158" t="str">
        <f>IF(ISERROR(VLOOKUP(Y309,'4 - SGs'!$A$4:$E$24,2)),"",VLOOKUP(Y309,'4 - SGs'!$A$4:$E$24,2))</f>
        <v/>
      </c>
      <c r="AA309" s="149"/>
      <c r="AB309" s="149"/>
      <c r="AC309" s="149"/>
      <c r="AD309" s="149"/>
      <c r="AE309" s="153"/>
    </row>
    <row r="310" spans="11:31" s="150" customFormat="1" ht="12">
      <c r="K310" s="154"/>
      <c r="L310" s="154"/>
      <c r="M310" s="151"/>
      <c r="P310" s="152"/>
      <c r="Q310" s="157"/>
      <c r="R310" s="152"/>
      <c r="S310" s="157"/>
      <c r="T310" s="152"/>
      <c r="U310" s="157"/>
      <c r="V310" s="151"/>
      <c r="W310" s="151"/>
      <c r="X310" s="155" t="str">
        <f t="shared" si="5"/>
        <v/>
      </c>
      <c r="Y310" s="152"/>
      <c r="Z310" s="158" t="str">
        <f>IF(ISERROR(VLOOKUP(Y310,'4 - SGs'!$A$4:$E$24,2)),"",VLOOKUP(Y310,'4 - SGs'!$A$4:$E$24,2))</f>
        <v/>
      </c>
      <c r="AA310" s="149"/>
      <c r="AB310" s="149"/>
      <c r="AC310" s="149"/>
      <c r="AD310" s="149"/>
      <c r="AE310" s="153"/>
    </row>
    <row r="311" spans="11:31" s="150" customFormat="1" ht="12">
      <c r="K311" s="154"/>
      <c r="L311" s="154"/>
      <c r="M311" s="151"/>
      <c r="P311" s="152"/>
      <c r="Q311" s="157"/>
      <c r="R311" s="152"/>
      <c r="S311" s="157"/>
      <c r="T311" s="152"/>
      <c r="U311" s="157"/>
      <c r="V311" s="151"/>
      <c r="W311" s="151"/>
      <c r="X311" s="155" t="str">
        <f t="shared" si="5"/>
        <v/>
      </c>
      <c r="Y311" s="152"/>
      <c r="Z311" s="158" t="str">
        <f>IF(ISERROR(VLOOKUP(Y311,'4 - SGs'!$A$4:$E$24,2)),"",VLOOKUP(Y311,'4 - SGs'!$A$4:$E$24,2))</f>
        <v/>
      </c>
      <c r="AA311" s="149"/>
      <c r="AB311" s="149"/>
      <c r="AC311" s="149"/>
      <c r="AD311" s="149"/>
      <c r="AE311" s="153"/>
    </row>
    <row r="312" spans="11:31" s="150" customFormat="1" ht="12">
      <c r="K312" s="154"/>
      <c r="L312" s="154"/>
      <c r="M312" s="151"/>
      <c r="P312" s="152"/>
      <c r="Q312" s="157"/>
      <c r="R312" s="152"/>
      <c r="S312" s="157"/>
      <c r="T312" s="152"/>
      <c r="U312" s="157"/>
      <c r="V312" s="151"/>
      <c r="W312" s="151"/>
      <c r="X312" s="155" t="str">
        <f t="shared" si="5"/>
        <v/>
      </c>
      <c r="Y312" s="152"/>
      <c r="Z312" s="158" t="str">
        <f>IF(ISERROR(VLOOKUP(Y312,'4 - SGs'!$A$4:$E$24,2)),"",VLOOKUP(Y312,'4 - SGs'!$A$4:$E$24,2))</f>
        <v/>
      </c>
      <c r="AA312" s="149"/>
      <c r="AB312" s="149"/>
      <c r="AC312" s="149"/>
      <c r="AD312" s="149"/>
      <c r="AE312" s="153"/>
    </row>
    <row r="313" spans="11:31" s="150" customFormat="1" ht="12">
      <c r="K313" s="154"/>
      <c r="L313" s="154"/>
      <c r="M313" s="151"/>
      <c r="P313" s="152"/>
      <c r="Q313" s="157"/>
      <c r="R313" s="152"/>
      <c r="S313" s="157"/>
      <c r="T313" s="152"/>
      <c r="U313" s="157"/>
      <c r="V313" s="151"/>
      <c r="W313" s="151"/>
      <c r="X313" s="155" t="str">
        <f t="shared" si="5"/>
        <v/>
      </c>
      <c r="Y313" s="152"/>
      <c r="Z313" s="158" t="str">
        <f>IF(ISERROR(VLOOKUP(Y313,'4 - SGs'!$A$4:$E$24,2)),"",VLOOKUP(Y313,'4 - SGs'!$A$4:$E$24,2))</f>
        <v/>
      </c>
      <c r="AA313" s="149"/>
      <c r="AB313" s="149"/>
      <c r="AC313" s="149"/>
      <c r="AD313" s="149"/>
      <c r="AE313" s="153"/>
    </row>
    <row r="314" spans="11:31" s="150" customFormat="1" ht="12">
      <c r="K314" s="154"/>
      <c r="L314" s="154"/>
      <c r="M314" s="151"/>
      <c r="P314" s="152"/>
      <c r="Q314" s="157"/>
      <c r="R314" s="152"/>
      <c r="S314" s="157"/>
      <c r="T314" s="152"/>
      <c r="U314" s="157"/>
      <c r="V314" s="151"/>
      <c r="W314" s="151"/>
      <c r="X314" s="155" t="str">
        <f t="shared" si="5"/>
        <v/>
      </c>
      <c r="Y314" s="152"/>
      <c r="Z314" s="158" t="str">
        <f>IF(ISERROR(VLOOKUP(Y314,'4 - SGs'!$A$4:$E$24,2)),"",VLOOKUP(Y314,'4 - SGs'!$A$4:$E$24,2))</f>
        <v/>
      </c>
      <c r="AA314" s="149"/>
      <c r="AB314" s="149"/>
      <c r="AC314" s="149"/>
      <c r="AD314" s="149"/>
      <c r="AE314" s="153"/>
    </row>
    <row r="315" spans="11:31" s="150" customFormat="1" ht="12">
      <c r="K315" s="154"/>
      <c r="L315" s="154"/>
      <c r="M315" s="151"/>
      <c r="P315" s="152"/>
      <c r="Q315" s="157"/>
      <c r="R315" s="152"/>
      <c r="S315" s="157"/>
      <c r="T315" s="152"/>
      <c r="U315" s="157"/>
      <c r="V315" s="151"/>
      <c r="W315" s="151"/>
      <c r="X315" s="155" t="str">
        <f t="shared" si="5"/>
        <v/>
      </c>
      <c r="Y315" s="152"/>
      <c r="Z315" s="158" t="str">
        <f>IF(ISERROR(VLOOKUP(Y315,'4 - SGs'!$A$4:$E$24,2)),"",VLOOKUP(Y315,'4 - SGs'!$A$4:$E$24,2))</f>
        <v/>
      </c>
      <c r="AA315" s="149"/>
      <c r="AB315" s="149"/>
      <c r="AC315" s="149"/>
      <c r="AD315" s="149"/>
      <c r="AE315" s="153"/>
    </row>
    <row r="316" spans="11:31" s="150" customFormat="1" ht="12">
      <c r="K316" s="154"/>
      <c r="L316" s="154"/>
      <c r="M316" s="151"/>
      <c r="P316" s="152"/>
      <c r="Q316" s="157"/>
      <c r="R316" s="152"/>
      <c r="S316" s="157"/>
      <c r="T316" s="152"/>
      <c r="U316" s="157"/>
      <c r="V316" s="151"/>
      <c r="W316" s="151"/>
      <c r="X316" s="155" t="str">
        <f t="shared" si="5"/>
        <v/>
      </c>
      <c r="Y316" s="152"/>
      <c r="Z316" s="158" t="str">
        <f>IF(ISERROR(VLOOKUP(Y316,'4 - SGs'!$A$4:$E$24,2)),"",VLOOKUP(Y316,'4 - SGs'!$A$4:$E$24,2))</f>
        <v/>
      </c>
      <c r="AA316" s="149"/>
      <c r="AB316" s="149"/>
      <c r="AC316" s="149"/>
      <c r="AD316" s="149"/>
      <c r="AE316" s="153"/>
    </row>
    <row r="317" spans="11:31" s="150" customFormat="1" ht="12">
      <c r="K317" s="154"/>
      <c r="L317" s="154"/>
      <c r="M317" s="151"/>
      <c r="P317" s="152"/>
      <c r="Q317" s="157"/>
      <c r="R317" s="152"/>
      <c r="S317" s="157"/>
      <c r="T317" s="152"/>
      <c r="U317" s="157"/>
      <c r="V317" s="151"/>
      <c r="W317" s="151"/>
      <c r="X317" s="155" t="str">
        <f t="shared" si="5"/>
        <v/>
      </c>
      <c r="Y317" s="152"/>
      <c r="Z317" s="158" t="str">
        <f>IF(ISERROR(VLOOKUP(Y317,'4 - SGs'!$A$4:$E$24,2)),"",VLOOKUP(Y317,'4 - SGs'!$A$4:$E$24,2))</f>
        <v/>
      </c>
      <c r="AA317" s="149"/>
      <c r="AB317" s="149"/>
      <c r="AC317" s="149"/>
      <c r="AD317" s="149"/>
      <c r="AE317" s="153"/>
    </row>
    <row r="318" spans="11:31" s="150" customFormat="1" ht="12">
      <c r="K318" s="154"/>
      <c r="L318" s="154"/>
      <c r="M318" s="151"/>
      <c r="P318" s="152"/>
      <c r="Q318" s="157"/>
      <c r="R318" s="152"/>
      <c r="S318" s="157"/>
      <c r="T318" s="152"/>
      <c r="U318" s="157"/>
      <c r="V318" s="151"/>
      <c r="W318" s="151"/>
      <c r="X318" s="155" t="str">
        <f t="shared" si="5"/>
        <v/>
      </c>
      <c r="Y318" s="152"/>
      <c r="Z318" s="158" t="str">
        <f>IF(ISERROR(VLOOKUP(Y318,'4 - SGs'!$A$4:$E$24,2)),"",VLOOKUP(Y318,'4 - SGs'!$A$4:$E$24,2))</f>
        <v/>
      </c>
      <c r="AA318" s="149"/>
      <c r="AB318" s="149"/>
      <c r="AC318" s="149"/>
      <c r="AD318" s="149"/>
      <c r="AE318" s="153"/>
    </row>
    <row r="319" spans="11:31" s="150" customFormat="1" ht="12">
      <c r="K319" s="154"/>
      <c r="L319" s="154"/>
      <c r="M319" s="151"/>
      <c r="P319" s="152"/>
      <c r="Q319" s="157"/>
      <c r="R319" s="152"/>
      <c r="S319" s="157"/>
      <c r="T319" s="152"/>
      <c r="U319" s="157"/>
      <c r="V319" s="151"/>
      <c r="W319" s="151"/>
      <c r="X319" s="155" t="str">
        <f t="shared" si="5"/>
        <v/>
      </c>
      <c r="Y319" s="152"/>
      <c r="Z319" s="158" t="str">
        <f>IF(ISERROR(VLOOKUP(Y319,'4 - SGs'!$A$4:$E$24,2)),"",VLOOKUP(Y319,'4 - SGs'!$A$4:$E$24,2))</f>
        <v/>
      </c>
      <c r="AA319" s="149"/>
      <c r="AB319" s="149"/>
      <c r="AC319" s="149"/>
      <c r="AD319" s="149"/>
      <c r="AE319" s="153"/>
    </row>
    <row r="320" spans="11:31" s="150" customFormat="1" ht="12">
      <c r="K320" s="154"/>
      <c r="L320" s="154"/>
      <c r="M320" s="151"/>
      <c r="P320" s="152"/>
      <c r="Q320" s="157"/>
      <c r="R320" s="152"/>
      <c r="S320" s="157"/>
      <c r="T320" s="152"/>
      <c r="U320" s="157"/>
      <c r="V320" s="151"/>
      <c r="W320" s="151"/>
      <c r="X320" s="155" t="str">
        <f t="shared" si="5"/>
        <v/>
      </c>
      <c r="Y320" s="152"/>
      <c r="Z320" s="158" t="str">
        <f>IF(ISERROR(VLOOKUP(Y320,'4 - SGs'!$A$4:$E$24,2)),"",VLOOKUP(Y320,'4 - SGs'!$A$4:$E$24,2))</f>
        <v/>
      </c>
      <c r="AA320" s="149"/>
      <c r="AB320" s="149"/>
      <c r="AC320" s="149"/>
      <c r="AD320" s="149"/>
      <c r="AE320" s="153"/>
    </row>
    <row r="321" spans="11:31" s="150" customFormat="1" ht="12">
      <c r="K321" s="154"/>
      <c r="L321" s="154"/>
      <c r="M321" s="151"/>
      <c r="P321" s="152"/>
      <c r="Q321" s="157"/>
      <c r="R321" s="152"/>
      <c r="S321" s="157"/>
      <c r="T321" s="152"/>
      <c r="U321" s="157"/>
      <c r="V321" s="151"/>
      <c r="W321" s="151"/>
      <c r="X321" s="155" t="str">
        <f t="shared" ref="X321:X384" si="6">IF(AND(ISBLANK(S_Wert),ISBLANK(E_Wert),ISBLANK(C_Wert)),"",IF(OR(S_Wert="S0",C_Wert="C0"),"",IF(E_Wert="E0","QM",IF(AND(S_Wert="-",E_Wert="-",C_Wert="-"),"?",VLOOKUP(S_Wert&amp;E_Wert,ASIL_Tabelle,MATCH(C_Wert,Controllability,0)+1,FALSE)))))</f>
        <v/>
      </c>
      <c r="Y321" s="152"/>
      <c r="Z321" s="158" t="str">
        <f>IF(ISERROR(VLOOKUP(Y321,'4 - SGs'!$A$4:$E$24,2)),"",VLOOKUP(Y321,'4 - SGs'!$A$4:$E$24,2))</f>
        <v/>
      </c>
      <c r="AA321" s="149"/>
      <c r="AB321" s="149"/>
      <c r="AC321" s="149"/>
      <c r="AD321" s="149"/>
      <c r="AE321" s="153"/>
    </row>
    <row r="322" spans="11:31" s="150" customFormat="1" ht="12">
      <c r="K322" s="154"/>
      <c r="L322" s="154"/>
      <c r="M322" s="151"/>
      <c r="P322" s="152"/>
      <c r="Q322" s="157"/>
      <c r="R322" s="152"/>
      <c r="S322" s="157"/>
      <c r="T322" s="152"/>
      <c r="U322" s="157"/>
      <c r="V322" s="151"/>
      <c r="W322" s="151"/>
      <c r="X322" s="155" t="str">
        <f t="shared" si="6"/>
        <v/>
      </c>
      <c r="Y322" s="152"/>
      <c r="Z322" s="158" t="str">
        <f>IF(ISERROR(VLOOKUP(Y322,'4 - SGs'!$A$4:$E$24,2)),"",VLOOKUP(Y322,'4 - SGs'!$A$4:$E$24,2))</f>
        <v/>
      </c>
      <c r="AA322" s="149"/>
      <c r="AB322" s="149"/>
      <c r="AC322" s="149"/>
      <c r="AD322" s="149"/>
      <c r="AE322" s="153"/>
    </row>
    <row r="323" spans="11:31" s="150" customFormat="1" ht="12">
      <c r="K323" s="154"/>
      <c r="L323" s="154"/>
      <c r="M323" s="151"/>
      <c r="P323" s="152"/>
      <c r="Q323" s="157"/>
      <c r="R323" s="152"/>
      <c r="S323" s="157"/>
      <c r="T323" s="152"/>
      <c r="U323" s="157"/>
      <c r="V323" s="151"/>
      <c r="W323" s="151"/>
      <c r="X323" s="155" t="str">
        <f t="shared" si="6"/>
        <v/>
      </c>
      <c r="Y323" s="152"/>
      <c r="Z323" s="158" t="str">
        <f>IF(ISERROR(VLOOKUP(Y323,'4 - SGs'!$A$4:$E$24,2)),"",VLOOKUP(Y323,'4 - SGs'!$A$4:$E$24,2))</f>
        <v/>
      </c>
      <c r="AA323" s="149"/>
      <c r="AB323" s="149"/>
      <c r="AC323" s="149"/>
      <c r="AD323" s="149"/>
      <c r="AE323" s="153"/>
    </row>
    <row r="324" spans="11:31" s="150" customFormat="1" ht="12">
      <c r="K324" s="154"/>
      <c r="L324" s="154"/>
      <c r="M324" s="151"/>
      <c r="P324" s="152"/>
      <c r="Q324" s="157"/>
      <c r="R324" s="152"/>
      <c r="S324" s="157"/>
      <c r="T324" s="152"/>
      <c r="U324" s="157"/>
      <c r="V324" s="151"/>
      <c r="W324" s="151"/>
      <c r="X324" s="155" t="str">
        <f t="shared" si="6"/>
        <v/>
      </c>
      <c r="Y324" s="152"/>
      <c r="Z324" s="158" t="str">
        <f>IF(ISERROR(VLOOKUP(Y324,'4 - SGs'!$A$4:$E$24,2)),"",VLOOKUP(Y324,'4 - SGs'!$A$4:$E$24,2))</f>
        <v/>
      </c>
      <c r="AA324" s="149"/>
      <c r="AB324" s="149"/>
      <c r="AC324" s="149"/>
      <c r="AD324" s="149"/>
      <c r="AE324" s="153"/>
    </row>
    <row r="325" spans="11:31" s="150" customFormat="1" ht="12">
      <c r="K325" s="154"/>
      <c r="L325" s="154"/>
      <c r="M325" s="151"/>
      <c r="P325" s="152"/>
      <c r="Q325" s="157"/>
      <c r="R325" s="152"/>
      <c r="S325" s="157"/>
      <c r="T325" s="152"/>
      <c r="U325" s="157"/>
      <c r="V325" s="151"/>
      <c r="W325" s="151"/>
      <c r="X325" s="155" t="str">
        <f t="shared" si="6"/>
        <v/>
      </c>
      <c r="Y325" s="152"/>
      <c r="Z325" s="158" t="str">
        <f>IF(ISERROR(VLOOKUP(Y325,'4 - SGs'!$A$4:$E$24,2)),"",VLOOKUP(Y325,'4 - SGs'!$A$4:$E$24,2))</f>
        <v/>
      </c>
      <c r="AA325" s="149"/>
      <c r="AB325" s="149"/>
      <c r="AC325" s="149"/>
      <c r="AD325" s="149"/>
      <c r="AE325" s="153"/>
    </row>
    <row r="326" spans="11:31" s="150" customFormat="1" ht="12">
      <c r="K326" s="154"/>
      <c r="L326" s="154"/>
      <c r="M326" s="151"/>
      <c r="P326" s="152"/>
      <c r="Q326" s="157"/>
      <c r="R326" s="152"/>
      <c r="S326" s="157"/>
      <c r="T326" s="152"/>
      <c r="U326" s="157"/>
      <c r="V326" s="151"/>
      <c r="W326" s="151"/>
      <c r="X326" s="155" t="str">
        <f t="shared" si="6"/>
        <v/>
      </c>
      <c r="Y326" s="152"/>
      <c r="Z326" s="158" t="str">
        <f>IF(ISERROR(VLOOKUP(Y326,'4 - SGs'!$A$4:$E$24,2)),"",VLOOKUP(Y326,'4 - SGs'!$A$4:$E$24,2))</f>
        <v/>
      </c>
      <c r="AA326" s="149"/>
      <c r="AB326" s="149"/>
      <c r="AC326" s="149"/>
      <c r="AD326" s="149"/>
      <c r="AE326" s="153"/>
    </row>
    <row r="327" spans="11:31" s="150" customFormat="1" ht="12">
      <c r="K327" s="154"/>
      <c r="L327" s="154"/>
      <c r="M327" s="151"/>
      <c r="P327" s="152"/>
      <c r="Q327" s="157"/>
      <c r="R327" s="152"/>
      <c r="S327" s="157"/>
      <c r="T327" s="152"/>
      <c r="U327" s="157"/>
      <c r="V327" s="151"/>
      <c r="W327" s="151"/>
      <c r="X327" s="155" t="str">
        <f t="shared" si="6"/>
        <v/>
      </c>
      <c r="Y327" s="152"/>
      <c r="Z327" s="158" t="str">
        <f>IF(ISERROR(VLOOKUP(Y327,'4 - SGs'!$A$4:$E$24,2)),"",VLOOKUP(Y327,'4 - SGs'!$A$4:$E$24,2))</f>
        <v/>
      </c>
      <c r="AA327" s="149"/>
      <c r="AB327" s="149"/>
      <c r="AC327" s="149"/>
      <c r="AD327" s="149"/>
      <c r="AE327" s="153"/>
    </row>
    <row r="328" spans="11:31" s="150" customFormat="1" ht="12">
      <c r="K328" s="154"/>
      <c r="L328" s="154"/>
      <c r="M328" s="151"/>
      <c r="P328" s="152"/>
      <c r="Q328" s="157"/>
      <c r="R328" s="152"/>
      <c r="S328" s="157"/>
      <c r="T328" s="152"/>
      <c r="U328" s="157"/>
      <c r="V328" s="151"/>
      <c r="W328" s="151"/>
      <c r="X328" s="155" t="str">
        <f t="shared" si="6"/>
        <v/>
      </c>
      <c r="Y328" s="152"/>
      <c r="Z328" s="158" t="str">
        <f>IF(ISERROR(VLOOKUP(Y328,'4 - SGs'!$A$4:$E$24,2)),"",VLOOKUP(Y328,'4 - SGs'!$A$4:$E$24,2))</f>
        <v/>
      </c>
      <c r="AA328" s="149"/>
      <c r="AB328" s="149"/>
      <c r="AC328" s="149"/>
      <c r="AD328" s="149"/>
      <c r="AE328" s="153"/>
    </row>
    <row r="329" spans="11:31" s="150" customFormat="1" ht="12">
      <c r="K329" s="154"/>
      <c r="L329" s="154"/>
      <c r="M329" s="151"/>
      <c r="P329" s="152"/>
      <c r="Q329" s="157"/>
      <c r="R329" s="152"/>
      <c r="S329" s="157"/>
      <c r="T329" s="152"/>
      <c r="U329" s="157"/>
      <c r="V329" s="151"/>
      <c r="W329" s="151"/>
      <c r="X329" s="155" t="str">
        <f t="shared" si="6"/>
        <v/>
      </c>
      <c r="Y329" s="152"/>
      <c r="Z329" s="158" t="str">
        <f>IF(ISERROR(VLOOKUP(Y329,'4 - SGs'!$A$4:$E$24,2)),"",VLOOKUP(Y329,'4 - SGs'!$A$4:$E$24,2))</f>
        <v/>
      </c>
      <c r="AA329" s="149"/>
      <c r="AB329" s="149"/>
      <c r="AC329" s="149"/>
      <c r="AD329" s="149"/>
      <c r="AE329" s="153"/>
    </row>
    <row r="330" spans="11:31" s="150" customFormat="1" ht="12">
      <c r="K330" s="154"/>
      <c r="L330" s="154"/>
      <c r="M330" s="151"/>
      <c r="P330" s="152"/>
      <c r="Q330" s="157"/>
      <c r="R330" s="152"/>
      <c r="S330" s="157"/>
      <c r="T330" s="152"/>
      <c r="U330" s="157"/>
      <c r="V330" s="151"/>
      <c r="W330" s="151"/>
      <c r="X330" s="155" t="str">
        <f t="shared" si="6"/>
        <v/>
      </c>
      <c r="Y330" s="152"/>
      <c r="Z330" s="158" t="str">
        <f>IF(ISERROR(VLOOKUP(Y330,'4 - SGs'!$A$4:$E$24,2)),"",VLOOKUP(Y330,'4 - SGs'!$A$4:$E$24,2))</f>
        <v/>
      </c>
      <c r="AA330" s="149"/>
      <c r="AB330" s="149"/>
      <c r="AC330" s="149"/>
      <c r="AD330" s="149"/>
      <c r="AE330" s="153"/>
    </row>
    <row r="331" spans="11:31" s="150" customFormat="1" ht="12">
      <c r="K331" s="154"/>
      <c r="L331" s="154"/>
      <c r="M331" s="151"/>
      <c r="P331" s="152"/>
      <c r="Q331" s="157"/>
      <c r="R331" s="152"/>
      <c r="S331" s="157"/>
      <c r="T331" s="152"/>
      <c r="U331" s="157"/>
      <c r="V331" s="151"/>
      <c r="W331" s="151"/>
      <c r="X331" s="155" t="str">
        <f t="shared" si="6"/>
        <v/>
      </c>
      <c r="Y331" s="152"/>
      <c r="Z331" s="158" t="str">
        <f>IF(ISERROR(VLOOKUP(Y331,'4 - SGs'!$A$4:$E$24,2)),"",VLOOKUP(Y331,'4 - SGs'!$A$4:$E$24,2))</f>
        <v/>
      </c>
      <c r="AA331" s="149"/>
      <c r="AB331" s="149"/>
      <c r="AC331" s="149"/>
      <c r="AD331" s="149"/>
      <c r="AE331" s="153"/>
    </row>
    <row r="332" spans="11:31" s="150" customFormat="1" ht="12">
      <c r="K332" s="154"/>
      <c r="L332" s="154"/>
      <c r="M332" s="151"/>
      <c r="P332" s="152"/>
      <c r="Q332" s="157"/>
      <c r="R332" s="152"/>
      <c r="S332" s="157"/>
      <c r="T332" s="152"/>
      <c r="U332" s="157"/>
      <c r="V332" s="151"/>
      <c r="W332" s="151"/>
      <c r="X332" s="155" t="str">
        <f t="shared" si="6"/>
        <v/>
      </c>
      <c r="Y332" s="152"/>
      <c r="Z332" s="158" t="str">
        <f>IF(ISERROR(VLOOKUP(Y332,'4 - SGs'!$A$4:$E$24,2)),"",VLOOKUP(Y332,'4 - SGs'!$A$4:$E$24,2))</f>
        <v/>
      </c>
      <c r="AA332" s="149"/>
      <c r="AB332" s="149"/>
      <c r="AC332" s="149"/>
      <c r="AD332" s="149"/>
      <c r="AE332" s="153"/>
    </row>
    <row r="333" spans="11:31" s="150" customFormat="1" ht="12">
      <c r="K333" s="154"/>
      <c r="L333" s="154"/>
      <c r="M333" s="151"/>
      <c r="P333" s="152"/>
      <c r="Q333" s="157"/>
      <c r="R333" s="152"/>
      <c r="S333" s="157"/>
      <c r="T333" s="152"/>
      <c r="U333" s="157"/>
      <c r="V333" s="151"/>
      <c r="W333" s="151"/>
      <c r="X333" s="155" t="str">
        <f t="shared" si="6"/>
        <v/>
      </c>
      <c r="Y333" s="152"/>
      <c r="Z333" s="158" t="str">
        <f>IF(ISERROR(VLOOKUP(Y333,'4 - SGs'!$A$4:$E$24,2)),"",VLOOKUP(Y333,'4 - SGs'!$A$4:$E$24,2))</f>
        <v/>
      </c>
      <c r="AA333" s="149"/>
      <c r="AB333" s="149"/>
      <c r="AC333" s="149"/>
      <c r="AD333" s="149"/>
      <c r="AE333" s="153"/>
    </row>
    <row r="334" spans="11:31" s="150" customFormat="1" ht="12">
      <c r="K334" s="154"/>
      <c r="L334" s="154"/>
      <c r="M334" s="151"/>
      <c r="P334" s="152"/>
      <c r="Q334" s="157"/>
      <c r="R334" s="152"/>
      <c r="S334" s="157"/>
      <c r="T334" s="152"/>
      <c r="U334" s="157"/>
      <c r="V334" s="151"/>
      <c r="W334" s="151"/>
      <c r="X334" s="155" t="str">
        <f t="shared" si="6"/>
        <v/>
      </c>
      <c r="Y334" s="152"/>
      <c r="Z334" s="158" t="str">
        <f>IF(ISERROR(VLOOKUP(Y334,'4 - SGs'!$A$4:$E$24,2)),"",VLOOKUP(Y334,'4 - SGs'!$A$4:$E$24,2))</f>
        <v/>
      </c>
      <c r="AA334" s="149"/>
      <c r="AB334" s="149"/>
      <c r="AC334" s="149"/>
      <c r="AD334" s="149"/>
      <c r="AE334" s="153"/>
    </row>
    <row r="335" spans="11:31" s="150" customFormat="1" ht="12">
      <c r="K335" s="154"/>
      <c r="L335" s="154"/>
      <c r="M335" s="151"/>
      <c r="P335" s="152"/>
      <c r="Q335" s="157"/>
      <c r="R335" s="152"/>
      <c r="S335" s="157"/>
      <c r="T335" s="152"/>
      <c r="U335" s="157"/>
      <c r="V335" s="151"/>
      <c r="W335" s="151"/>
      <c r="X335" s="155" t="str">
        <f t="shared" si="6"/>
        <v/>
      </c>
      <c r="Y335" s="152"/>
      <c r="Z335" s="158" t="str">
        <f>IF(ISERROR(VLOOKUP(Y335,'4 - SGs'!$A$4:$E$24,2)),"",VLOOKUP(Y335,'4 - SGs'!$A$4:$E$24,2))</f>
        <v/>
      </c>
      <c r="AA335" s="149"/>
      <c r="AB335" s="149"/>
      <c r="AC335" s="149"/>
      <c r="AD335" s="149"/>
      <c r="AE335" s="153"/>
    </row>
    <row r="336" spans="11:31" s="150" customFormat="1" ht="12">
      <c r="K336" s="154"/>
      <c r="L336" s="154"/>
      <c r="M336" s="151"/>
      <c r="P336" s="152"/>
      <c r="Q336" s="157"/>
      <c r="R336" s="152"/>
      <c r="S336" s="157"/>
      <c r="T336" s="152"/>
      <c r="U336" s="157"/>
      <c r="V336" s="151"/>
      <c r="W336" s="151"/>
      <c r="X336" s="155" t="str">
        <f t="shared" si="6"/>
        <v/>
      </c>
      <c r="Y336" s="152"/>
      <c r="Z336" s="158" t="str">
        <f>IF(ISERROR(VLOOKUP(Y336,'4 - SGs'!$A$4:$E$24,2)),"",VLOOKUP(Y336,'4 - SGs'!$A$4:$E$24,2))</f>
        <v/>
      </c>
      <c r="AA336" s="149"/>
      <c r="AB336" s="149"/>
      <c r="AC336" s="149"/>
      <c r="AD336" s="149"/>
      <c r="AE336" s="153"/>
    </row>
    <row r="337" spans="11:31" s="150" customFormat="1" ht="12">
      <c r="K337" s="154"/>
      <c r="L337" s="154"/>
      <c r="M337" s="151"/>
      <c r="P337" s="152"/>
      <c r="Q337" s="157"/>
      <c r="R337" s="152"/>
      <c r="S337" s="157"/>
      <c r="T337" s="152"/>
      <c r="U337" s="157"/>
      <c r="V337" s="151"/>
      <c r="W337" s="151"/>
      <c r="X337" s="155" t="str">
        <f t="shared" si="6"/>
        <v/>
      </c>
      <c r="Y337" s="152"/>
      <c r="Z337" s="158" t="str">
        <f>IF(ISERROR(VLOOKUP(Y337,'4 - SGs'!$A$4:$E$24,2)),"",VLOOKUP(Y337,'4 - SGs'!$A$4:$E$24,2))</f>
        <v/>
      </c>
      <c r="AA337" s="149"/>
      <c r="AB337" s="149"/>
      <c r="AC337" s="149"/>
      <c r="AD337" s="149"/>
      <c r="AE337" s="153"/>
    </row>
    <row r="338" spans="11:31" s="150" customFormat="1" ht="12">
      <c r="K338" s="154"/>
      <c r="L338" s="154"/>
      <c r="M338" s="151"/>
      <c r="P338" s="152"/>
      <c r="Q338" s="157"/>
      <c r="R338" s="152"/>
      <c r="S338" s="157"/>
      <c r="T338" s="152"/>
      <c r="U338" s="157"/>
      <c r="V338" s="151"/>
      <c r="W338" s="151"/>
      <c r="X338" s="155" t="str">
        <f t="shared" si="6"/>
        <v/>
      </c>
      <c r="Y338" s="152"/>
      <c r="Z338" s="158" t="str">
        <f>IF(ISERROR(VLOOKUP(Y338,'4 - SGs'!$A$4:$E$24,2)),"",VLOOKUP(Y338,'4 - SGs'!$A$4:$E$24,2))</f>
        <v/>
      </c>
      <c r="AA338" s="149"/>
      <c r="AB338" s="149"/>
      <c r="AC338" s="149"/>
      <c r="AD338" s="149"/>
      <c r="AE338" s="153"/>
    </row>
    <row r="339" spans="11:31" s="150" customFormat="1" ht="12">
      <c r="K339" s="154"/>
      <c r="L339" s="154"/>
      <c r="M339" s="151"/>
      <c r="P339" s="152"/>
      <c r="Q339" s="157"/>
      <c r="R339" s="152"/>
      <c r="S339" s="157"/>
      <c r="T339" s="152"/>
      <c r="U339" s="157"/>
      <c r="V339" s="151"/>
      <c r="W339" s="151"/>
      <c r="X339" s="155" t="str">
        <f t="shared" si="6"/>
        <v/>
      </c>
      <c r="Y339" s="152"/>
      <c r="Z339" s="158" t="str">
        <f>IF(ISERROR(VLOOKUP(Y339,'4 - SGs'!$A$4:$E$24,2)),"",VLOOKUP(Y339,'4 - SGs'!$A$4:$E$24,2))</f>
        <v/>
      </c>
      <c r="AA339" s="149"/>
      <c r="AB339" s="149"/>
      <c r="AC339" s="149"/>
      <c r="AD339" s="149"/>
      <c r="AE339" s="153"/>
    </row>
    <row r="340" spans="11:31" s="150" customFormat="1" ht="12">
      <c r="K340" s="154"/>
      <c r="L340" s="154"/>
      <c r="M340" s="151"/>
      <c r="P340" s="152"/>
      <c r="Q340" s="157"/>
      <c r="R340" s="152"/>
      <c r="S340" s="157"/>
      <c r="T340" s="152"/>
      <c r="U340" s="157"/>
      <c r="V340" s="151"/>
      <c r="W340" s="151"/>
      <c r="X340" s="155" t="str">
        <f t="shared" si="6"/>
        <v/>
      </c>
      <c r="Y340" s="152"/>
      <c r="Z340" s="158" t="str">
        <f>IF(ISERROR(VLOOKUP(Y340,'4 - SGs'!$A$4:$E$24,2)),"",VLOOKUP(Y340,'4 - SGs'!$A$4:$E$24,2))</f>
        <v/>
      </c>
      <c r="AA340" s="149"/>
      <c r="AB340" s="149"/>
      <c r="AC340" s="149"/>
      <c r="AD340" s="149"/>
      <c r="AE340" s="153"/>
    </row>
    <row r="341" spans="11:31" s="150" customFormat="1" ht="12">
      <c r="K341" s="154"/>
      <c r="L341" s="154"/>
      <c r="M341" s="151"/>
      <c r="P341" s="152"/>
      <c r="Q341" s="157"/>
      <c r="R341" s="152"/>
      <c r="S341" s="157"/>
      <c r="T341" s="152"/>
      <c r="U341" s="157"/>
      <c r="V341" s="151"/>
      <c r="W341" s="151"/>
      <c r="X341" s="155" t="str">
        <f t="shared" si="6"/>
        <v/>
      </c>
      <c r="Y341" s="152"/>
      <c r="Z341" s="158" t="str">
        <f>IF(ISERROR(VLOOKUP(Y341,'4 - SGs'!$A$4:$E$24,2)),"",VLOOKUP(Y341,'4 - SGs'!$A$4:$E$24,2))</f>
        <v/>
      </c>
      <c r="AA341" s="149"/>
      <c r="AB341" s="149"/>
      <c r="AC341" s="149"/>
      <c r="AD341" s="149"/>
      <c r="AE341" s="153"/>
    </row>
    <row r="342" spans="11:31" s="150" customFormat="1" ht="12">
      <c r="K342" s="154"/>
      <c r="L342" s="154"/>
      <c r="M342" s="151"/>
      <c r="P342" s="152"/>
      <c r="Q342" s="157"/>
      <c r="R342" s="152"/>
      <c r="S342" s="157"/>
      <c r="T342" s="152"/>
      <c r="U342" s="157"/>
      <c r="V342" s="151"/>
      <c r="W342" s="151"/>
      <c r="X342" s="155" t="str">
        <f t="shared" si="6"/>
        <v/>
      </c>
      <c r="Y342" s="152"/>
      <c r="Z342" s="158" t="str">
        <f>IF(ISERROR(VLOOKUP(Y342,'4 - SGs'!$A$4:$E$24,2)),"",VLOOKUP(Y342,'4 - SGs'!$A$4:$E$24,2))</f>
        <v/>
      </c>
      <c r="AA342" s="149"/>
      <c r="AB342" s="149"/>
      <c r="AC342" s="149"/>
      <c r="AD342" s="149"/>
      <c r="AE342" s="153"/>
    </row>
    <row r="343" spans="11:31" s="150" customFormat="1" ht="12">
      <c r="K343" s="154"/>
      <c r="L343" s="154"/>
      <c r="M343" s="151"/>
      <c r="P343" s="152"/>
      <c r="Q343" s="157"/>
      <c r="R343" s="152"/>
      <c r="S343" s="157"/>
      <c r="T343" s="152"/>
      <c r="U343" s="157"/>
      <c r="V343" s="151"/>
      <c r="W343" s="151"/>
      <c r="X343" s="155" t="str">
        <f t="shared" si="6"/>
        <v/>
      </c>
      <c r="Y343" s="152"/>
      <c r="Z343" s="158" t="str">
        <f>IF(ISERROR(VLOOKUP(Y343,'4 - SGs'!$A$4:$E$24,2)),"",VLOOKUP(Y343,'4 - SGs'!$A$4:$E$24,2))</f>
        <v/>
      </c>
      <c r="AA343" s="149"/>
      <c r="AB343" s="149"/>
      <c r="AC343" s="149"/>
      <c r="AD343" s="149"/>
      <c r="AE343" s="153"/>
    </row>
    <row r="344" spans="11:31" s="150" customFormat="1" ht="12">
      <c r="K344" s="154"/>
      <c r="L344" s="154"/>
      <c r="M344" s="151"/>
      <c r="P344" s="152"/>
      <c r="Q344" s="157"/>
      <c r="R344" s="152"/>
      <c r="S344" s="157"/>
      <c r="T344" s="152"/>
      <c r="U344" s="157"/>
      <c r="V344" s="151"/>
      <c r="W344" s="151"/>
      <c r="X344" s="155" t="str">
        <f t="shared" si="6"/>
        <v/>
      </c>
      <c r="Y344" s="152"/>
      <c r="Z344" s="158" t="str">
        <f>IF(ISERROR(VLOOKUP(Y344,'4 - SGs'!$A$4:$E$24,2)),"",VLOOKUP(Y344,'4 - SGs'!$A$4:$E$24,2))</f>
        <v/>
      </c>
      <c r="AA344" s="149"/>
      <c r="AB344" s="149"/>
      <c r="AC344" s="149"/>
      <c r="AD344" s="149"/>
      <c r="AE344" s="153"/>
    </row>
    <row r="345" spans="11:31" s="150" customFormat="1" ht="12">
      <c r="K345" s="154"/>
      <c r="L345" s="154"/>
      <c r="M345" s="151"/>
      <c r="P345" s="152"/>
      <c r="Q345" s="157"/>
      <c r="R345" s="152"/>
      <c r="S345" s="157"/>
      <c r="T345" s="152"/>
      <c r="U345" s="157"/>
      <c r="V345" s="151"/>
      <c r="W345" s="151"/>
      <c r="X345" s="155" t="str">
        <f t="shared" si="6"/>
        <v/>
      </c>
      <c r="Y345" s="152"/>
      <c r="Z345" s="158" t="str">
        <f>IF(ISERROR(VLOOKUP(Y345,'4 - SGs'!$A$4:$E$24,2)),"",VLOOKUP(Y345,'4 - SGs'!$A$4:$E$24,2))</f>
        <v/>
      </c>
      <c r="AA345" s="149"/>
      <c r="AB345" s="149"/>
      <c r="AC345" s="149"/>
      <c r="AD345" s="149"/>
      <c r="AE345" s="153"/>
    </row>
    <row r="346" spans="11:31" s="150" customFormat="1" ht="12">
      <c r="K346" s="154"/>
      <c r="L346" s="154"/>
      <c r="M346" s="151"/>
      <c r="P346" s="152"/>
      <c r="Q346" s="157"/>
      <c r="R346" s="152"/>
      <c r="S346" s="157"/>
      <c r="T346" s="152"/>
      <c r="U346" s="157"/>
      <c r="V346" s="151"/>
      <c r="W346" s="151"/>
      <c r="X346" s="155" t="str">
        <f t="shared" si="6"/>
        <v/>
      </c>
      <c r="Y346" s="152"/>
      <c r="Z346" s="158" t="str">
        <f>IF(ISERROR(VLOOKUP(Y346,'4 - SGs'!$A$4:$E$24,2)),"",VLOOKUP(Y346,'4 - SGs'!$A$4:$E$24,2))</f>
        <v/>
      </c>
      <c r="AA346" s="149"/>
      <c r="AB346" s="149"/>
      <c r="AC346" s="149"/>
      <c r="AD346" s="149"/>
      <c r="AE346" s="153"/>
    </row>
    <row r="347" spans="11:31" s="150" customFormat="1" ht="12">
      <c r="K347" s="154"/>
      <c r="L347" s="154"/>
      <c r="M347" s="151"/>
      <c r="P347" s="152"/>
      <c r="Q347" s="157"/>
      <c r="R347" s="152"/>
      <c r="S347" s="157"/>
      <c r="T347" s="152"/>
      <c r="U347" s="157"/>
      <c r="V347" s="151"/>
      <c r="W347" s="151"/>
      <c r="X347" s="155" t="str">
        <f t="shared" si="6"/>
        <v/>
      </c>
      <c r="Y347" s="152"/>
      <c r="Z347" s="158" t="str">
        <f>IF(ISERROR(VLOOKUP(Y347,'4 - SGs'!$A$4:$E$24,2)),"",VLOOKUP(Y347,'4 - SGs'!$A$4:$E$24,2))</f>
        <v/>
      </c>
      <c r="AA347" s="149"/>
      <c r="AB347" s="149"/>
      <c r="AC347" s="149"/>
      <c r="AD347" s="149"/>
      <c r="AE347" s="153"/>
    </row>
    <row r="348" spans="11:31" s="150" customFormat="1" ht="12">
      <c r="K348" s="154"/>
      <c r="L348" s="154"/>
      <c r="M348" s="151"/>
      <c r="P348" s="152"/>
      <c r="Q348" s="157"/>
      <c r="R348" s="152"/>
      <c r="S348" s="157"/>
      <c r="T348" s="152"/>
      <c r="U348" s="157"/>
      <c r="V348" s="151"/>
      <c r="W348" s="151"/>
      <c r="X348" s="155" t="str">
        <f t="shared" si="6"/>
        <v/>
      </c>
      <c r="Y348" s="152"/>
      <c r="Z348" s="158" t="str">
        <f>IF(ISERROR(VLOOKUP(Y348,'4 - SGs'!$A$4:$E$24,2)),"",VLOOKUP(Y348,'4 - SGs'!$A$4:$E$24,2))</f>
        <v/>
      </c>
      <c r="AA348" s="149"/>
      <c r="AB348" s="149"/>
      <c r="AC348" s="149"/>
      <c r="AD348" s="149"/>
      <c r="AE348" s="153"/>
    </row>
    <row r="349" spans="11:31" s="150" customFormat="1" ht="12">
      <c r="K349" s="154"/>
      <c r="L349" s="154"/>
      <c r="M349" s="151"/>
      <c r="P349" s="152"/>
      <c r="Q349" s="157"/>
      <c r="R349" s="152"/>
      <c r="S349" s="157"/>
      <c r="T349" s="152"/>
      <c r="U349" s="157"/>
      <c r="V349" s="151"/>
      <c r="W349" s="151"/>
      <c r="X349" s="155" t="str">
        <f t="shared" si="6"/>
        <v/>
      </c>
      <c r="Y349" s="152"/>
      <c r="Z349" s="158" t="str">
        <f>IF(ISERROR(VLOOKUP(Y349,'4 - SGs'!$A$4:$E$24,2)),"",VLOOKUP(Y349,'4 - SGs'!$A$4:$E$24,2))</f>
        <v/>
      </c>
      <c r="AA349" s="149"/>
      <c r="AB349" s="149"/>
      <c r="AC349" s="149"/>
      <c r="AD349" s="149"/>
      <c r="AE349" s="153"/>
    </row>
    <row r="350" spans="11:31" s="150" customFormat="1" ht="12">
      <c r="K350" s="154"/>
      <c r="L350" s="154"/>
      <c r="M350" s="151"/>
      <c r="P350" s="152"/>
      <c r="Q350" s="157"/>
      <c r="R350" s="152"/>
      <c r="S350" s="157"/>
      <c r="T350" s="152"/>
      <c r="U350" s="157"/>
      <c r="V350" s="151"/>
      <c r="W350" s="151"/>
      <c r="X350" s="155" t="str">
        <f t="shared" si="6"/>
        <v/>
      </c>
      <c r="Y350" s="152"/>
      <c r="Z350" s="158" t="str">
        <f>IF(ISERROR(VLOOKUP(Y350,'4 - SGs'!$A$4:$E$24,2)),"",VLOOKUP(Y350,'4 - SGs'!$A$4:$E$24,2))</f>
        <v/>
      </c>
      <c r="AA350" s="149"/>
      <c r="AB350" s="149"/>
      <c r="AC350" s="149"/>
      <c r="AD350" s="149"/>
      <c r="AE350" s="153"/>
    </row>
    <row r="351" spans="11:31" s="150" customFormat="1" ht="12">
      <c r="K351" s="154"/>
      <c r="L351" s="154"/>
      <c r="M351" s="151"/>
      <c r="P351" s="152"/>
      <c r="Q351" s="157"/>
      <c r="R351" s="152"/>
      <c r="S351" s="157"/>
      <c r="T351" s="152"/>
      <c r="U351" s="157"/>
      <c r="V351" s="151"/>
      <c r="W351" s="151"/>
      <c r="X351" s="155" t="str">
        <f t="shared" si="6"/>
        <v/>
      </c>
      <c r="Y351" s="152"/>
      <c r="Z351" s="158" t="str">
        <f>IF(ISERROR(VLOOKUP(Y351,'4 - SGs'!$A$4:$E$24,2)),"",VLOOKUP(Y351,'4 - SGs'!$A$4:$E$24,2))</f>
        <v/>
      </c>
      <c r="AA351" s="149"/>
      <c r="AB351" s="149"/>
      <c r="AC351" s="149"/>
      <c r="AD351" s="149"/>
      <c r="AE351" s="153"/>
    </row>
    <row r="352" spans="11:31" s="150" customFormat="1" ht="12">
      <c r="K352" s="154"/>
      <c r="L352" s="154"/>
      <c r="M352" s="151"/>
      <c r="P352" s="152"/>
      <c r="Q352" s="157"/>
      <c r="R352" s="152"/>
      <c r="S352" s="157"/>
      <c r="T352" s="152"/>
      <c r="U352" s="157"/>
      <c r="V352" s="151"/>
      <c r="W352" s="151"/>
      <c r="X352" s="155" t="str">
        <f t="shared" si="6"/>
        <v/>
      </c>
      <c r="Y352" s="152"/>
      <c r="Z352" s="158" t="str">
        <f>IF(ISERROR(VLOOKUP(Y352,'4 - SGs'!$A$4:$E$24,2)),"",VLOOKUP(Y352,'4 - SGs'!$A$4:$E$24,2))</f>
        <v/>
      </c>
      <c r="AA352" s="149"/>
      <c r="AB352" s="149"/>
      <c r="AC352" s="149"/>
      <c r="AD352" s="149"/>
      <c r="AE352" s="153"/>
    </row>
    <row r="353" spans="11:31" s="150" customFormat="1" ht="12">
      <c r="K353" s="154"/>
      <c r="L353" s="154"/>
      <c r="M353" s="151"/>
      <c r="P353" s="152"/>
      <c r="Q353" s="157"/>
      <c r="R353" s="152"/>
      <c r="S353" s="157"/>
      <c r="T353" s="152"/>
      <c r="U353" s="157"/>
      <c r="V353" s="151"/>
      <c r="W353" s="151"/>
      <c r="X353" s="155" t="str">
        <f t="shared" si="6"/>
        <v/>
      </c>
      <c r="Y353" s="152"/>
      <c r="Z353" s="158" t="str">
        <f>IF(ISERROR(VLOOKUP(Y353,'4 - SGs'!$A$4:$E$24,2)),"",VLOOKUP(Y353,'4 - SGs'!$A$4:$E$24,2))</f>
        <v/>
      </c>
      <c r="AA353" s="149"/>
      <c r="AB353" s="149"/>
      <c r="AC353" s="149"/>
      <c r="AD353" s="149"/>
      <c r="AE353" s="153"/>
    </row>
    <row r="354" spans="11:31" s="150" customFormat="1" ht="12">
      <c r="K354" s="154"/>
      <c r="L354" s="154"/>
      <c r="M354" s="151"/>
      <c r="P354" s="152"/>
      <c r="Q354" s="157"/>
      <c r="R354" s="152"/>
      <c r="S354" s="157"/>
      <c r="T354" s="152"/>
      <c r="U354" s="157"/>
      <c r="V354" s="151"/>
      <c r="W354" s="151"/>
      <c r="X354" s="155" t="str">
        <f t="shared" si="6"/>
        <v/>
      </c>
      <c r="Y354" s="152"/>
      <c r="Z354" s="158" t="str">
        <f>IF(ISERROR(VLOOKUP(Y354,'4 - SGs'!$A$4:$E$24,2)),"",VLOOKUP(Y354,'4 - SGs'!$A$4:$E$24,2))</f>
        <v/>
      </c>
      <c r="AA354" s="149"/>
      <c r="AB354" s="149"/>
      <c r="AC354" s="149"/>
      <c r="AD354" s="149"/>
      <c r="AE354" s="153"/>
    </row>
    <row r="355" spans="11:31" s="150" customFormat="1" ht="12">
      <c r="K355" s="154"/>
      <c r="L355" s="154"/>
      <c r="M355" s="151"/>
      <c r="P355" s="152"/>
      <c r="Q355" s="157"/>
      <c r="R355" s="152"/>
      <c r="S355" s="157"/>
      <c r="T355" s="152"/>
      <c r="U355" s="157"/>
      <c r="V355" s="151"/>
      <c r="W355" s="151"/>
      <c r="X355" s="155" t="str">
        <f t="shared" si="6"/>
        <v/>
      </c>
      <c r="Y355" s="152"/>
      <c r="Z355" s="158" t="str">
        <f>IF(ISERROR(VLOOKUP(Y355,'4 - SGs'!$A$4:$E$24,2)),"",VLOOKUP(Y355,'4 - SGs'!$A$4:$E$24,2))</f>
        <v/>
      </c>
      <c r="AA355" s="149"/>
      <c r="AB355" s="149"/>
      <c r="AC355" s="149"/>
      <c r="AD355" s="149"/>
      <c r="AE355" s="153"/>
    </row>
    <row r="356" spans="11:31" s="150" customFormat="1" ht="12">
      <c r="K356" s="154"/>
      <c r="L356" s="154"/>
      <c r="M356" s="151"/>
      <c r="P356" s="152"/>
      <c r="Q356" s="157"/>
      <c r="R356" s="152"/>
      <c r="S356" s="157"/>
      <c r="T356" s="152"/>
      <c r="U356" s="157"/>
      <c r="V356" s="151"/>
      <c r="W356" s="151"/>
      <c r="X356" s="155" t="str">
        <f t="shared" si="6"/>
        <v/>
      </c>
      <c r="Y356" s="152"/>
      <c r="Z356" s="158" t="str">
        <f>IF(ISERROR(VLOOKUP(Y356,'4 - SGs'!$A$4:$E$24,2)),"",VLOOKUP(Y356,'4 - SGs'!$A$4:$E$24,2))</f>
        <v/>
      </c>
      <c r="AA356" s="149"/>
      <c r="AB356" s="149"/>
      <c r="AC356" s="149"/>
      <c r="AD356" s="149"/>
      <c r="AE356" s="153"/>
    </row>
    <row r="357" spans="11:31" s="150" customFormat="1" ht="12">
      <c r="K357" s="154"/>
      <c r="L357" s="154"/>
      <c r="M357" s="151"/>
      <c r="P357" s="152"/>
      <c r="Q357" s="157"/>
      <c r="R357" s="152"/>
      <c r="S357" s="157"/>
      <c r="T357" s="152"/>
      <c r="U357" s="157"/>
      <c r="V357" s="151"/>
      <c r="W357" s="151"/>
      <c r="X357" s="155" t="str">
        <f t="shared" si="6"/>
        <v/>
      </c>
      <c r="Y357" s="152"/>
      <c r="Z357" s="158" t="str">
        <f>IF(ISERROR(VLOOKUP(Y357,'4 - SGs'!$A$4:$E$24,2)),"",VLOOKUP(Y357,'4 - SGs'!$A$4:$E$24,2))</f>
        <v/>
      </c>
      <c r="AA357" s="149"/>
      <c r="AB357" s="149"/>
      <c r="AC357" s="149"/>
      <c r="AD357" s="149"/>
      <c r="AE357" s="153"/>
    </row>
    <row r="358" spans="11:31" s="150" customFormat="1" ht="12">
      <c r="K358" s="154"/>
      <c r="L358" s="154"/>
      <c r="M358" s="151"/>
      <c r="P358" s="152"/>
      <c r="Q358" s="157"/>
      <c r="R358" s="152"/>
      <c r="S358" s="157"/>
      <c r="T358" s="152"/>
      <c r="U358" s="157"/>
      <c r="V358" s="151"/>
      <c r="W358" s="151"/>
      <c r="X358" s="155" t="str">
        <f t="shared" si="6"/>
        <v/>
      </c>
      <c r="Y358" s="152"/>
      <c r="Z358" s="158" t="str">
        <f>IF(ISERROR(VLOOKUP(Y358,'4 - SGs'!$A$4:$E$24,2)),"",VLOOKUP(Y358,'4 - SGs'!$A$4:$E$24,2))</f>
        <v/>
      </c>
      <c r="AA358" s="149"/>
      <c r="AB358" s="149"/>
      <c r="AC358" s="149"/>
      <c r="AD358" s="149"/>
      <c r="AE358" s="153"/>
    </row>
    <row r="359" spans="11:31" s="150" customFormat="1" ht="12">
      <c r="K359" s="154"/>
      <c r="L359" s="154"/>
      <c r="M359" s="151"/>
      <c r="P359" s="152"/>
      <c r="Q359" s="157"/>
      <c r="R359" s="152"/>
      <c r="S359" s="157"/>
      <c r="T359" s="152"/>
      <c r="U359" s="157"/>
      <c r="V359" s="151"/>
      <c r="W359" s="151"/>
      <c r="X359" s="155" t="str">
        <f t="shared" si="6"/>
        <v/>
      </c>
      <c r="Y359" s="152"/>
      <c r="Z359" s="158" t="str">
        <f>IF(ISERROR(VLOOKUP(Y359,'4 - SGs'!$A$4:$E$24,2)),"",VLOOKUP(Y359,'4 - SGs'!$A$4:$E$24,2))</f>
        <v/>
      </c>
      <c r="AA359" s="149"/>
      <c r="AB359" s="149"/>
      <c r="AC359" s="149"/>
      <c r="AD359" s="149"/>
      <c r="AE359" s="153"/>
    </row>
    <row r="360" spans="11:31" s="150" customFormat="1" ht="12">
      <c r="K360" s="154"/>
      <c r="L360" s="154"/>
      <c r="M360" s="151"/>
      <c r="P360" s="152"/>
      <c r="Q360" s="157"/>
      <c r="R360" s="152"/>
      <c r="S360" s="157"/>
      <c r="T360" s="152"/>
      <c r="U360" s="157"/>
      <c r="V360" s="151"/>
      <c r="W360" s="151"/>
      <c r="X360" s="155" t="str">
        <f t="shared" si="6"/>
        <v/>
      </c>
      <c r="Y360" s="152"/>
      <c r="Z360" s="158" t="str">
        <f>IF(ISERROR(VLOOKUP(Y360,'4 - SGs'!$A$4:$E$24,2)),"",VLOOKUP(Y360,'4 - SGs'!$A$4:$E$24,2))</f>
        <v/>
      </c>
      <c r="AA360" s="149"/>
      <c r="AB360" s="149"/>
      <c r="AC360" s="149"/>
      <c r="AD360" s="149"/>
      <c r="AE360" s="153"/>
    </row>
    <row r="361" spans="11:31" s="150" customFormat="1" ht="12">
      <c r="K361" s="154"/>
      <c r="L361" s="154"/>
      <c r="M361" s="151"/>
      <c r="P361" s="152"/>
      <c r="Q361" s="157"/>
      <c r="R361" s="152"/>
      <c r="S361" s="157"/>
      <c r="T361" s="152"/>
      <c r="U361" s="157"/>
      <c r="V361" s="151"/>
      <c r="W361" s="151"/>
      <c r="X361" s="155" t="str">
        <f t="shared" si="6"/>
        <v/>
      </c>
      <c r="Y361" s="152"/>
      <c r="Z361" s="158" t="str">
        <f>IF(ISERROR(VLOOKUP(Y361,'4 - SGs'!$A$4:$E$24,2)),"",VLOOKUP(Y361,'4 - SGs'!$A$4:$E$24,2))</f>
        <v/>
      </c>
      <c r="AA361" s="149"/>
      <c r="AB361" s="149"/>
      <c r="AC361" s="149"/>
      <c r="AD361" s="149"/>
      <c r="AE361" s="153"/>
    </row>
    <row r="362" spans="11:31" s="150" customFormat="1" ht="12">
      <c r="K362" s="154"/>
      <c r="L362" s="154"/>
      <c r="M362" s="151"/>
      <c r="P362" s="152"/>
      <c r="Q362" s="157"/>
      <c r="R362" s="152"/>
      <c r="S362" s="157"/>
      <c r="T362" s="152"/>
      <c r="U362" s="157"/>
      <c r="V362" s="151"/>
      <c r="W362" s="151"/>
      <c r="X362" s="155" t="str">
        <f t="shared" si="6"/>
        <v/>
      </c>
      <c r="Y362" s="152"/>
      <c r="Z362" s="158" t="str">
        <f>IF(ISERROR(VLOOKUP(Y362,'4 - SGs'!$A$4:$E$24,2)),"",VLOOKUP(Y362,'4 - SGs'!$A$4:$E$24,2))</f>
        <v/>
      </c>
      <c r="AA362" s="149"/>
      <c r="AB362" s="149"/>
      <c r="AC362" s="149"/>
      <c r="AD362" s="149"/>
      <c r="AE362" s="153"/>
    </row>
    <row r="363" spans="11:31" s="150" customFormat="1" ht="12">
      <c r="K363" s="154"/>
      <c r="L363" s="154"/>
      <c r="M363" s="151"/>
      <c r="P363" s="152"/>
      <c r="Q363" s="157"/>
      <c r="R363" s="152"/>
      <c r="S363" s="157"/>
      <c r="T363" s="152"/>
      <c r="U363" s="157"/>
      <c r="V363" s="151"/>
      <c r="W363" s="151"/>
      <c r="X363" s="155" t="str">
        <f t="shared" si="6"/>
        <v/>
      </c>
      <c r="Y363" s="152"/>
      <c r="Z363" s="158" t="str">
        <f>IF(ISERROR(VLOOKUP(Y363,'4 - SGs'!$A$4:$E$24,2)),"",VLOOKUP(Y363,'4 - SGs'!$A$4:$E$24,2))</f>
        <v/>
      </c>
      <c r="AA363" s="149"/>
      <c r="AB363" s="149"/>
      <c r="AC363" s="149"/>
      <c r="AD363" s="149"/>
      <c r="AE363" s="153"/>
    </row>
    <row r="364" spans="11:31" s="150" customFormat="1" ht="12">
      <c r="K364" s="154"/>
      <c r="L364" s="154"/>
      <c r="M364" s="151"/>
      <c r="P364" s="152"/>
      <c r="Q364" s="157"/>
      <c r="R364" s="152"/>
      <c r="S364" s="157"/>
      <c r="T364" s="152"/>
      <c r="U364" s="157"/>
      <c r="V364" s="151"/>
      <c r="W364" s="151"/>
      <c r="X364" s="155" t="str">
        <f t="shared" si="6"/>
        <v/>
      </c>
      <c r="Y364" s="152"/>
      <c r="Z364" s="158" t="str">
        <f>IF(ISERROR(VLOOKUP(Y364,'4 - SGs'!$A$4:$E$24,2)),"",VLOOKUP(Y364,'4 - SGs'!$A$4:$E$24,2))</f>
        <v/>
      </c>
      <c r="AA364" s="149"/>
      <c r="AB364" s="149"/>
      <c r="AC364" s="149"/>
      <c r="AD364" s="149"/>
      <c r="AE364" s="153"/>
    </row>
    <row r="365" spans="11:31" s="150" customFormat="1" ht="12">
      <c r="K365" s="154"/>
      <c r="L365" s="154"/>
      <c r="M365" s="151"/>
      <c r="P365" s="152"/>
      <c r="Q365" s="157"/>
      <c r="R365" s="152"/>
      <c r="S365" s="157"/>
      <c r="T365" s="152"/>
      <c r="U365" s="157"/>
      <c r="V365" s="151"/>
      <c r="W365" s="151"/>
      <c r="X365" s="155" t="str">
        <f t="shared" si="6"/>
        <v/>
      </c>
      <c r="Y365" s="152"/>
      <c r="Z365" s="158" t="str">
        <f>IF(ISERROR(VLOOKUP(Y365,'4 - SGs'!$A$4:$E$24,2)),"",VLOOKUP(Y365,'4 - SGs'!$A$4:$E$24,2))</f>
        <v/>
      </c>
      <c r="AA365" s="149"/>
      <c r="AB365" s="149"/>
      <c r="AC365" s="149"/>
      <c r="AD365" s="149"/>
      <c r="AE365" s="153"/>
    </row>
    <row r="366" spans="11:31" s="150" customFormat="1" ht="12">
      <c r="K366" s="154"/>
      <c r="L366" s="154"/>
      <c r="M366" s="151"/>
      <c r="P366" s="152"/>
      <c r="Q366" s="157"/>
      <c r="R366" s="152"/>
      <c r="S366" s="157"/>
      <c r="T366" s="152"/>
      <c r="U366" s="157"/>
      <c r="V366" s="151"/>
      <c r="W366" s="151"/>
      <c r="X366" s="155" t="str">
        <f t="shared" si="6"/>
        <v/>
      </c>
      <c r="Y366" s="152"/>
      <c r="Z366" s="158" t="str">
        <f>IF(ISERROR(VLOOKUP(Y366,'4 - SGs'!$A$4:$E$24,2)),"",VLOOKUP(Y366,'4 - SGs'!$A$4:$E$24,2))</f>
        <v/>
      </c>
      <c r="AA366" s="149"/>
      <c r="AB366" s="149"/>
      <c r="AC366" s="149"/>
      <c r="AD366" s="149"/>
      <c r="AE366" s="153"/>
    </row>
    <row r="367" spans="11:31" s="150" customFormat="1" ht="12">
      <c r="K367" s="154"/>
      <c r="L367" s="154"/>
      <c r="M367" s="151"/>
      <c r="P367" s="152"/>
      <c r="Q367" s="157"/>
      <c r="R367" s="152"/>
      <c r="S367" s="157"/>
      <c r="T367" s="152"/>
      <c r="U367" s="157"/>
      <c r="V367" s="151"/>
      <c r="W367" s="151"/>
      <c r="X367" s="155" t="str">
        <f t="shared" si="6"/>
        <v/>
      </c>
      <c r="Y367" s="152"/>
      <c r="Z367" s="158" t="str">
        <f>IF(ISERROR(VLOOKUP(Y367,'4 - SGs'!$A$4:$E$24,2)),"",VLOOKUP(Y367,'4 - SGs'!$A$4:$E$24,2))</f>
        <v/>
      </c>
      <c r="AA367" s="149"/>
      <c r="AB367" s="149"/>
      <c r="AC367" s="149"/>
      <c r="AD367" s="149"/>
      <c r="AE367" s="153"/>
    </row>
    <row r="368" spans="11:31" s="150" customFormat="1" ht="12">
      <c r="K368" s="154"/>
      <c r="L368" s="154"/>
      <c r="M368" s="151"/>
      <c r="P368" s="152"/>
      <c r="Q368" s="157"/>
      <c r="R368" s="152"/>
      <c r="S368" s="157"/>
      <c r="T368" s="152"/>
      <c r="U368" s="157"/>
      <c r="V368" s="151"/>
      <c r="W368" s="151"/>
      <c r="X368" s="155" t="str">
        <f t="shared" si="6"/>
        <v/>
      </c>
      <c r="Y368" s="152"/>
      <c r="Z368" s="158" t="str">
        <f>IF(ISERROR(VLOOKUP(Y368,'4 - SGs'!$A$4:$E$24,2)),"",VLOOKUP(Y368,'4 - SGs'!$A$4:$E$24,2))</f>
        <v/>
      </c>
      <c r="AA368" s="149"/>
      <c r="AB368" s="149"/>
      <c r="AC368" s="149"/>
      <c r="AD368" s="149"/>
      <c r="AE368" s="153"/>
    </row>
    <row r="369" spans="11:31" s="150" customFormat="1" ht="12">
      <c r="K369" s="154"/>
      <c r="L369" s="154"/>
      <c r="M369" s="151"/>
      <c r="P369" s="152"/>
      <c r="Q369" s="157"/>
      <c r="R369" s="152"/>
      <c r="S369" s="157"/>
      <c r="T369" s="152"/>
      <c r="U369" s="157"/>
      <c r="V369" s="151"/>
      <c r="W369" s="151"/>
      <c r="X369" s="155" t="str">
        <f t="shared" si="6"/>
        <v/>
      </c>
      <c r="Y369" s="152"/>
      <c r="Z369" s="158" t="str">
        <f>IF(ISERROR(VLOOKUP(Y369,'4 - SGs'!$A$4:$E$24,2)),"",VLOOKUP(Y369,'4 - SGs'!$A$4:$E$24,2))</f>
        <v/>
      </c>
      <c r="AA369" s="149"/>
      <c r="AB369" s="149"/>
      <c r="AC369" s="149"/>
      <c r="AD369" s="149"/>
      <c r="AE369" s="153"/>
    </row>
    <row r="370" spans="11:31" s="150" customFormat="1" ht="12">
      <c r="K370" s="154"/>
      <c r="L370" s="154"/>
      <c r="M370" s="151"/>
      <c r="P370" s="152"/>
      <c r="Q370" s="157"/>
      <c r="R370" s="152"/>
      <c r="S370" s="157"/>
      <c r="T370" s="152"/>
      <c r="U370" s="157"/>
      <c r="V370" s="151"/>
      <c r="W370" s="151"/>
      <c r="X370" s="155" t="str">
        <f t="shared" si="6"/>
        <v/>
      </c>
      <c r="Y370" s="152"/>
      <c r="Z370" s="158" t="str">
        <f>IF(ISERROR(VLOOKUP(Y370,'4 - SGs'!$A$4:$E$24,2)),"",VLOOKUP(Y370,'4 - SGs'!$A$4:$E$24,2))</f>
        <v/>
      </c>
      <c r="AA370" s="149"/>
      <c r="AB370" s="149"/>
      <c r="AC370" s="149"/>
      <c r="AD370" s="149"/>
      <c r="AE370" s="153"/>
    </row>
    <row r="371" spans="11:31" s="150" customFormat="1" ht="12">
      <c r="K371" s="154"/>
      <c r="L371" s="154"/>
      <c r="M371" s="151"/>
      <c r="P371" s="152"/>
      <c r="Q371" s="157"/>
      <c r="R371" s="152"/>
      <c r="S371" s="157"/>
      <c r="T371" s="152"/>
      <c r="U371" s="157"/>
      <c r="V371" s="151"/>
      <c r="W371" s="151"/>
      <c r="X371" s="155" t="str">
        <f t="shared" si="6"/>
        <v/>
      </c>
      <c r="Y371" s="152"/>
      <c r="Z371" s="158" t="str">
        <f>IF(ISERROR(VLOOKUP(Y371,'4 - SGs'!$A$4:$E$24,2)),"",VLOOKUP(Y371,'4 - SGs'!$A$4:$E$24,2))</f>
        <v/>
      </c>
      <c r="AA371" s="149"/>
      <c r="AB371" s="149"/>
      <c r="AC371" s="149"/>
      <c r="AD371" s="149"/>
      <c r="AE371" s="153"/>
    </row>
    <row r="372" spans="11:31" s="150" customFormat="1" ht="12">
      <c r="K372" s="154"/>
      <c r="L372" s="154"/>
      <c r="M372" s="151"/>
      <c r="P372" s="152"/>
      <c r="Q372" s="157"/>
      <c r="R372" s="152"/>
      <c r="S372" s="157"/>
      <c r="T372" s="152"/>
      <c r="U372" s="157"/>
      <c r="V372" s="151"/>
      <c r="W372" s="151"/>
      <c r="X372" s="155" t="str">
        <f t="shared" si="6"/>
        <v/>
      </c>
      <c r="Y372" s="152"/>
      <c r="Z372" s="158" t="str">
        <f>IF(ISERROR(VLOOKUP(Y372,'4 - SGs'!$A$4:$E$24,2)),"",VLOOKUP(Y372,'4 - SGs'!$A$4:$E$24,2))</f>
        <v/>
      </c>
      <c r="AA372" s="149"/>
      <c r="AB372" s="149"/>
      <c r="AC372" s="149"/>
      <c r="AD372" s="149"/>
      <c r="AE372" s="153"/>
    </row>
    <row r="373" spans="11:31" s="150" customFormat="1" ht="12">
      <c r="K373" s="154"/>
      <c r="L373" s="154"/>
      <c r="M373" s="151"/>
      <c r="P373" s="152"/>
      <c r="Q373" s="157"/>
      <c r="R373" s="152"/>
      <c r="S373" s="157"/>
      <c r="T373" s="152"/>
      <c r="U373" s="157"/>
      <c r="V373" s="151"/>
      <c r="W373" s="151"/>
      <c r="X373" s="155" t="str">
        <f t="shared" si="6"/>
        <v/>
      </c>
      <c r="Y373" s="152"/>
      <c r="Z373" s="158" t="str">
        <f>IF(ISERROR(VLOOKUP(Y373,'4 - SGs'!$A$4:$E$24,2)),"",VLOOKUP(Y373,'4 - SGs'!$A$4:$E$24,2))</f>
        <v/>
      </c>
      <c r="AA373" s="149"/>
      <c r="AB373" s="149"/>
      <c r="AC373" s="149"/>
      <c r="AD373" s="149"/>
      <c r="AE373" s="153"/>
    </row>
    <row r="374" spans="11:31" s="150" customFormat="1" ht="12">
      <c r="K374" s="154"/>
      <c r="L374" s="154"/>
      <c r="M374" s="151"/>
      <c r="P374" s="152"/>
      <c r="Q374" s="157"/>
      <c r="R374" s="152"/>
      <c r="S374" s="157"/>
      <c r="T374" s="152"/>
      <c r="U374" s="157"/>
      <c r="V374" s="151"/>
      <c r="W374" s="151"/>
      <c r="X374" s="155" t="str">
        <f t="shared" si="6"/>
        <v/>
      </c>
      <c r="Y374" s="152"/>
      <c r="Z374" s="158" t="str">
        <f>IF(ISERROR(VLOOKUP(Y374,'4 - SGs'!$A$4:$E$24,2)),"",VLOOKUP(Y374,'4 - SGs'!$A$4:$E$24,2))</f>
        <v/>
      </c>
      <c r="AA374" s="149"/>
      <c r="AB374" s="149"/>
      <c r="AC374" s="149"/>
      <c r="AD374" s="149"/>
      <c r="AE374" s="153"/>
    </row>
    <row r="375" spans="11:31" s="150" customFormat="1" ht="12">
      <c r="K375" s="154"/>
      <c r="L375" s="154"/>
      <c r="M375" s="151"/>
      <c r="P375" s="152"/>
      <c r="Q375" s="157"/>
      <c r="R375" s="152"/>
      <c r="S375" s="157"/>
      <c r="T375" s="152"/>
      <c r="U375" s="157"/>
      <c r="V375" s="151"/>
      <c r="W375" s="151"/>
      <c r="X375" s="155" t="str">
        <f t="shared" si="6"/>
        <v/>
      </c>
      <c r="Y375" s="152"/>
      <c r="Z375" s="158" t="str">
        <f>IF(ISERROR(VLOOKUP(Y375,'4 - SGs'!$A$4:$E$24,2)),"",VLOOKUP(Y375,'4 - SGs'!$A$4:$E$24,2))</f>
        <v/>
      </c>
      <c r="AA375" s="149"/>
      <c r="AB375" s="149"/>
      <c r="AC375" s="149"/>
      <c r="AD375" s="149"/>
      <c r="AE375" s="153"/>
    </row>
    <row r="376" spans="11:31" s="150" customFormat="1" ht="12">
      <c r="K376" s="154"/>
      <c r="L376" s="154"/>
      <c r="M376" s="151"/>
      <c r="P376" s="152"/>
      <c r="Q376" s="157"/>
      <c r="R376" s="152"/>
      <c r="S376" s="157"/>
      <c r="T376" s="152"/>
      <c r="U376" s="157"/>
      <c r="V376" s="151"/>
      <c r="W376" s="151"/>
      <c r="X376" s="155" t="str">
        <f t="shared" si="6"/>
        <v/>
      </c>
      <c r="Y376" s="152"/>
      <c r="Z376" s="158" t="str">
        <f>IF(ISERROR(VLOOKUP(Y376,'4 - SGs'!$A$4:$E$24,2)),"",VLOOKUP(Y376,'4 - SGs'!$A$4:$E$24,2))</f>
        <v/>
      </c>
      <c r="AA376" s="149"/>
      <c r="AB376" s="149"/>
      <c r="AC376" s="149"/>
      <c r="AD376" s="149"/>
      <c r="AE376" s="153"/>
    </row>
    <row r="377" spans="11:31" s="150" customFormat="1" ht="12">
      <c r="K377" s="154"/>
      <c r="L377" s="154"/>
      <c r="M377" s="151"/>
      <c r="P377" s="152"/>
      <c r="Q377" s="157"/>
      <c r="R377" s="152"/>
      <c r="S377" s="157"/>
      <c r="T377" s="152"/>
      <c r="U377" s="157"/>
      <c r="V377" s="151"/>
      <c r="W377" s="151"/>
      <c r="X377" s="155" t="str">
        <f t="shared" si="6"/>
        <v/>
      </c>
      <c r="Y377" s="152"/>
      <c r="Z377" s="158" t="str">
        <f>IF(ISERROR(VLOOKUP(Y377,'4 - SGs'!$A$4:$E$24,2)),"",VLOOKUP(Y377,'4 - SGs'!$A$4:$E$24,2))</f>
        <v/>
      </c>
      <c r="AA377" s="149"/>
      <c r="AB377" s="149"/>
      <c r="AC377" s="149"/>
      <c r="AD377" s="149"/>
      <c r="AE377" s="153"/>
    </row>
    <row r="378" spans="11:31" s="150" customFormat="1" ht="12">
      <c r="K378" s="154"/>
      <c r="L378" s="154"/>
      <c r="M378" s="151"/>
      <c r="P378" s="152"/>
      <c r="Q378" s="157"/>
      <c r="R378" s="152"/>
      <c r="S378" s="157"/>
      <c r="T378" s="152"/>
      <c r="U378" s="157"/>
      <c r="V378" s="151"/>
      <c r="W378" s="151"/>
      <c r="X378" s="155" t="str">
        <f t="shared" si="6"/>
        <v/>
      </c>
      <c r="Y378" s="152"/>
      <c r="Z378" s="158" t="str">
        <f>IF(ISERROR(VLOOKUP(Y378,'4 - SGs'!$A$4:$E$24,2)),"",VLOOKUP(Y378,'4 - SGs'!$A$4:$E$24,2))</f>
        <v/>
      </c>
      <c r="AA378" s="149"/>
      <c r="AB378" s="149"/>
      <c r="AC378" s="149"/>
      <c r="AD378" s="149"/>
      <c r="AE378" s="153"/>
    </row>
    <row r="379" spans="11:31" s="150" customFormat="1" ht="12">
      <c r="K379" s="154"/>
      <c r="L379" s="154"/>
      <c r="M379" s="151"/>
      <c r="P379" s="152"/>
      <c r="Q379" s="157"/>
      <c r="R379" s="152"/>
      <c r="S379" s="157"/>
      <c r="T379" s="152"/>
      <c r="U379" s="157"/>
      <c r="V379" s="151"/>
      <c r="W379" s="151"/>
      <c r="X379" s="155" t="str">
        <f t="shared" si="6"/>
        <v/>
      </c>
      <c r="Y379" s="152"/>
      <c r="Z379" s="158" t="str">
        <f>IF(ISERROR(VLOOKUP(Y379,'4 - SGs'!$A$4:$E$24,2)),"",VLOOKUP(Y379,'4 - SGs'!$A$4:$E$24,2))</f>
        <v/>
      </c>
      <c r="AA379" s="149"/>
      <c r="AB379" s="149"/>
      <c r="AC379" s="149"/>
      <c r="AD379" s="149"/>
      <c r="AE379" s="153"/>
    </row>
    <row r="380" spans="11:31" s="150" customFormat="1" ht="12">
      <c r="K380" s="154"/>
      <c r="L380" s="154"/>
      <c r="M380" s="151"/>
      <c r="P380" s="152"/>
      <c r="Q380" s="157"/>
      <c r="R380" s="152"/>
      <c r="S380" s="157"/>
      <c r="T380" s="152"/>
      <c r="U380" s="157"/>
      <c r="V380" s="151"/>
      <c r="W380" s="151"/>
      <c r="X380" s="155" t="str">
        <f t="shared" si="6"/>
        <v/>
      </c>
      <c r="Y380" s="152"/>
      <c r="Z380" s="158" t="str">
        <f>IF(ISERROR(VLOOKUP(Y380,'4 - SGs'!$A$4:$E$24,2)),"",VLOOKUP(Y380,'4 - SGs'!$A$4:$E$24,2))</f>
        <v/>
      </c>
      <c r="AA380" s="149"/>
      <c r="AB380" s="149"/>
      <c r="AC380" s="149"/>
      <c r="AD380" s="149"/>
      <c r="AE380" s="153"/>
    </row>
    <row r="381" spans="11:31" s="150" customFormat="1" ht="12">
      <c r="K381" s="154"/>
      <c r="L381" s="154"/>
      <c r="M381" s="151"/>
      <c r="P381" s="152"/>
      <c r="Q381" s="157"/>
      <c r="R381" s="152"/>
      <c r="S381" s="157"/>
      <c r="T381" s="152"/>
      <c r="U381" s="157"/>
      <c r="V381" s="151"/>
      <c r="W381" s="151"/>
      <c r="X381" s="155" t="str">
        <f t="shared" si="6"/>
        <v/>
      </c>
      <c r="Y381" s="152"/>
      <c r="Z381" s="158" t="str">
        <f>IF(ISERROR(VLOOKUP(Y381,'4 - SGs'!$A$4:$E$24,2)),"",VLOOKUP(Y381,'4 - SGs'!$A$4:$E$24,2))</f>
        <v/>
      </c>
      <c r="AA381" s="149"/>
      <c r="AB381" s="149"/>
      <c r="AC381" s="149"/>
      <c r="AD381" s="149"/>
      <c r="AE381" s="153"/>
    </row>
    <row r="382" spans="11:31" s="150" customFormat="1" ht="12">
      <c r="K382" s="154"/>
      <c r="L382" s="154"/>
      <c r="M382" s="151"/>
      <c r="P382" s="152"/>
      <c r="Q382" s="157"/>
      <c r="R382" s="152"/>
      <c r="S382" s="157"/>
      <c r="T382" s="152"/>
      <c r="U382" s="157"/>
      <c r="V382" s="151"/>
      <c r="W382" s="151"/>
      <c r="X382" s="155" t="str">
        <f t="shared" si="6"/>
        <v/>
      </c>
      <c r="Y382" s="152"/>
      <c r="Z382" s="158" t="str">
        <f>IF(ISERROR(VLOOKUP(Y382,'4 - SGs'!$A$4:$E$24,2)),"",VLOOKUP(Y382,'4 - SGs'!$A$4:$E$24,2))</f>
        <v/>
      </c>
      <c r="AA382" s="149"/>
      <c r="AB382" s="149"/>
      <c r="AC382" s="149"/>
      <c r="AD382" s="149"/>
      <c r="AE382" s="153"/>
    </row>
    <row r="383" spans="11:31" s="150" customFormat="1" ht="12">
      <c r="K383" s="154"/>
      <c r="L383" s="154"/>
      <c r="M383" s="151"/>
      <c r="P383" s="152"/>
      <c r="Q383" s="157"/>
      <c r="R383" s="152"/>
      <c r="S383" s="157"/>
      <c r="T383" s="152"/>
      <c r="U383" s="157"/>
      <c r="V383" s="151"/>
      <c r="W383" s="151"/>
      <c r="X383" s="155" t="str">
        <f t="shared" si="6"/>
        <v/>
      </c>
      <c r="Y383" s="152"/>
      <c r="Z383" s="158" t="str">
        <f>IF(ISERROR(VLOOKUP(Y383,'4 - SGs'!$A$4:$E$24,2)),"",VLOOKUP(Y383,'4 - SGs'!$A$4:$E$24,2))</f>
        <v/>
      </c>
      <c r="AA383" s="149"/>
      <c r="AB383" s="149"/>
      <c r="AC383" s="149"/>
      <c r="AD383" s="149"/>
      <c r="AE383" s="153"/>
    </row>
    <row r="384" spans="11:31" s="150" customFormat="1" ht="12">
      <c r="K384" s="154"/>
      <c r="L384" s="154"/>
      <c r="M384" s="151"/>
      <c r="P384" s="152"/>
      <c r="Q384" s="157"/>
      <c r="R384" s="152"/>
      <c r="S384" s="157"/>
      <c r="T384" s="152"/>
      <c r="U384" s="157"/>
      <c r="V384" s="151"/>
      <c r="W384" s="151"/>
      <c r="X384" s="155" t="str">
        <f t="shared" si="6"/>
        <v/>
      </c>
      <c r="Y384" s="152"/>
      <c r="Z384" s="158" t="str">
        <f>IF(ISERROR(VLOOKUP(Y384,'4 - SGs'!$A$4:$E$24,2)),"",VLOOKUP(Y384,'4 - SGs'!$A$4:$E$24,2))</f>
        <v/>
      </c>
      <c r="AA384" s="149"/>
      <c r="AB384" s="149"/>
      <c r="AC384" s="149"/>
      <c r="AD384" s="149"/>
      <c r="AE384" s="153"/>
    </row>
    <row r="385" spans="11:31" s="150" customFormat="1" ht="12">
      <c r="K385" s="154"/>
      <c r="L385" s="154"/>
      <c r="M385" s="151"/>
      <c r="P385" s="152"/>
      <c r="Q385" s="157"/>
      <c r="R385" s="152"/>
      <c r="S385" s="157"/>
      <c r="T385" s="152"/>
      <c r="U385" s="157"/>
      <c r="V385" s="151"/>
      <c r="W385" s="151"/>
      <c r="X385" s="155" t="str">
        <f t="shared" ref="X385:X448" si="7">IF(AND(ISBLANK(S_Wert),ISBLANK(E_Wert),ISBLANK(C_Wert)),"",IF(OR(S_Wert="S0",C_Wert="C0"),"",IF(E_Wert="E0","QM",IF(AND(S_Wert="-",E_Wert="-",C_Wert="-"),"?",VLOOKUP(S_Wert&amp;E_Wert,ASIL_Tabelle,MATCH(C_Wert,Controllability,0)+1,FALSE)))))</f>
        <v/>
      </c>
      <c r="Y385" s="152"/>
      <c r="Z385" s="158" t="str">
        <f>IF(ISERROR(VLOOKUP(Y385,'4 - SGs'!$A$4:$E$24,2)),"",VLOOKUP(Y385,'4 - SGs'!$A$4:$E$24,2))</f>
        <v/>
      </c>
      <c r="AA385" s="149"/>
      <c r="AB385" s="149"/>
      <c r="AC385" s="149"/>
      <c r="AD385" s="149"/>
      <c r="AE385" s="153"/>
    </row>
    <row r="386" spans="11:31" s="150" customFormat="1" ht="12">
      <c r="K386" s="154"/>
      <c r="L386" s="154"/>
      <c r="M386" s="151"/>
      <c r="P386" s="152"/>
      <c r="Q386" s="157"/>
      <c r="R386" s="152"/>
      <c r="S386" s="157"/>
      <c r="T386" s="152"/>
      <c r="U386" s="157"/>
      <c r="V386" s="151"/>
      <c r="W386" s="151"/>
      <c r="X386" s="155" t="str">
        <f t="shared" si="7"/>
        <v/>
      </c>
      <c r="Y386" s="152"/>
      <c r="Z386" s="158" t="str">
        <f>IF(ISERROR(VLOOKUP(Y386,'4 - SGs'!$A$4:$E$24,2)),"",VLOOKUP(Y386,'4 - SGs'!$A$4:$E$24,2))</f>
        <v/>
      </c>
      <c r="AA386" s="149"/>
      <c r="AB386" s="149"/>
      <c r="AC386" s="149"/>
      <c r="AD386" s="149"/>
      <c r="AE386" s="153"/>
    </row>
    <row r="387" spans="11:31" s="150" customFormat="1" ht="12">
      <c r="K387" s="154"/>
      <c r="L387" s="154"/>
      <c r="M387" s="151"/>
      <c r="P387" s="152"/>
      <c r="Q387" s="157"/>
      <c r="R387" s="152"/>
      <c r="S387" s="157"/>
      <c r="T387" s="152"/>
      <c r="U387" s="157"/>
      <c r="V387" s="151"/>
      <c r="W387" s="151"/>
      <c r="X387" s="155" t="str">
        <f t="shared" si="7"/>
        <v/>
      </c>
      <c r="Y387" s="152"/>
      <c r="Z387" s="158" t="str">
        <f>IF(ISERROR(VLOOKUP(Y387,'4 - SGs'!$A$4:$E$24,2)),"",VLOOKUP(Y387,'4 - SGs'!$A$4:$E$24,2))</f>
        <v/>
      </c>
      <c r="AA387" s="149"/>
      <c r="AB387" s="149"/>
      <c r="AC387" s="149"/>
      <c r="AD387" s="149"/>
      <c r="AE387" s="153"/>
    </row>
    <row r="388" spans="11:31" s="150" customFormat="1" ht="12">
      <c r="K388" s="154"/>
      <c r="L388" s="154"/>
      <c r="M388" s="151"/>
      <c r="P388" s="152"/>
      <c r="Q388" s="157"/>
      <c r="R388" s="152"/>
      <c r="S388" s="157"/>
      <c r="T388" s="152"/>
      <c r="U388" s="157"/>
      <c r="V388" s="151"/>
      <c r="W388" s="151"/>
      <c r="X388" s="155" t="str">
        <f t="shared" si="7"/>
        <v/>
      </c>
      <c r="Y388" s="152"/>
      <c r="Z388" s="158" t="str">
        <f>IF(ISERROR(VLOOKUP(Y388,'4 - SGs'!$A$4:$E$24,2)),"",VLOOKUP(Y388,'4 - SGs'!$A$4:$E$24,2))</f>
        <v/>
      </c>
      <c r="AA388" s="149"/>
      <c r="AB388" s="149"/>
      <c r="AC388" s="149"/>
      <c r="AD388" s="149"/>
      <c r="AE388" s="153"/>
    </row>
    <row r="389" spans="11:31" s="150" customFormat="1" ht="12">
      <c r="K389" s="154"/>
      <c r="L389" s="154"/>
      <c r="M389" s="151"/>
      <c r="P389" s="152"/>
      <c r="Q389" s="157"/>
      <c r="R389" s="152"/>
      <c r="S389" s="157"/>
      <c r="T389" s="152"/>
      <c r="U389" s="157"/>
      <c r="V389" s="151"/>
      <c r="W389" s="151"/>
      <c r="X389" s="155" t="str">
        <f t="shared" si="7"/>
        <v/>
      </c>
      <c r="Y389" s="152"/>
      <c r="Z389" s="158" t="str">
        <f>IF(ISERROR(VLOOKUP(Y389,'4 - SGs'!$A$4:$E$24,2)),"",VLOOKUP(Y389,'4 - SGs'!$A$4:$E$24,2))</f>
        <v/>
      </c>
      <c r="AA389" s="149"/>
      <c r="AB389" s="149"/>
      <c r="AC389" s="149"/>
      <c r="AD389" s="149"/>
      <c r="AE389" s="153"/>
    </row>
    <row r="390" spans="11:31" s="150" customFormat="1" ht="12">
      <c r="K390" s="154"/>
      <c r="L390" s="154"/>
      <c r="M390" s="151"/>
      <c r="P390" s="152"/>
      <c r="Q390" s="157"/>
      <c r="R390" s="152"/>
      <c r="S390" s="157"/>
      <c r="T390" s="152"/>
      <c r="U390" s="157"/>
      <c r="V390" s="151"/>
      <c r="W390" s="151"/>
      <c r="X390" s="155" t="str">
        <f t="shared" si="7"/>
        <v/>
      </c>
      <c r="Y390" s="152"/>
      <c r="Z390" s="158" t="str">
        <f>IF(ISERROR(VLOOKUP(Y390,'4 - SGs'!$A$4:$E$24,2)),"",VLOOKUP(Y390,'4 - SGs'!$A$4:$E$24,2))</f>
        <v/>
      </c>
      <c r="AA390" s="149"/>
      <c r="AB390" s="149"/>
      <c r="AC390" s="149"/>
      <c r="AD390" s="149"/>
      <c r="AE390" s="153"/>
    </row>
    <row r="391" spans="11:31" s="150" customFormat="1" ht="12">
      <c r="K391" s="154"/>
      <c r="L391" s="154"/>
      <c r="M391" s="151"/>
      <c r="P391" s="152"/>
      <c r="Q391" s="157"/>
      <c r="R391" s="152"/>
      <c r="S391" s="157"/>
      <c r="T391" s="152"/>
      <c r="U391" s="157"/>
      <c r="V391" s="151"/>
      <c r="W391" s="151"/>
      <c r="X391" s="155" t="str">
        <f t="shared" si="7"/>
        <v/>
      </c>
      <c r="Y391" s="152"/>
      <c r="Z391" s="158" t="str">
        <f>IF(ISERROR(VLOOKUP(Y391,'4 - SGs'!$A$4:$E$24,2)),"",VLOOKUP(Y391,'4 - SGs'!$A$4:$E$24,2))</f>
        <v/>
      </c>
      <c r="AA391" s="149"/>
      <c r="AB391" s="149"/>
      <c r="AC391" s="149"/>
      <c r="AD391" s="149"/>
      <c r="AE391" s="153"/>
    </row>
    <row r="392" spans="11:31" s="150" customFormat="1" ht="12">
      <c r="K392" s="154"/>
      <c r="L392" s="154"/>
      <c r="M392" s="151"/>
      <c r="P392" s="152"/>
      <c r="Q392" s="157"/>
      <c r="R392" s="152"/>
      <c r="S392" s="157"/>
      <c r="T392" s="152"/>
      <c r="U392" s="157"/>
      <c r="V392" s="151"/>
      <c r="W392" s="151"/>
      <c r="X392" s="155" t="str">
        <f t="shared" si="7"/>
        <v/>
      </c>
      <c r="Y392" s="152"/>
      <c r="Z392" s="158" t="str">
        <f>IF(ISERROR(VLOOKUP(Y392,'4 - SGs'!$A$4:$E$24,2)),"",VLOOKUP(Y392,'4 - SGs'!$A$4:$E$24,2))</f>
        <v/>
      </c>
      <c r="AA392" s="149"/>
      <c r="AB392" s="149"/>
      <c r="AC392" s="149"/>
      <c r="AD392" s="149"/>
      <c r="AE392" s="153"/>
    </row>
    <row r="393" spans="11:31" s="150" customFormat="1" ht="12">
      <c r="K393" s="154"/>
      <c r="L393" s="154"/>
      <c r="M393" s="151"/>
      <c r="P393" s="152"/>
      <c r="Q393" s="157"/>
      <c r="R393" s="152"/>
      <c r="S393" s="157"/>
      <c r="T393" s="152"/>
      <c r="U393" s="157"/>
      <c r="V393" s="151"/>
      <c r="W393" s="151"/>
      <c r="X393" s="155" t="str">
        <f t="shared" si="7"/>
        <v/>
      </c>
      <c r="Y393" s="152"/>
      <c r="Z393" s="158" t="str">
        <f>IF(ISERROR(VLOOKUP(Y393,'4 - SGs'!$A$4:$E$24,2)),"",VLOOKUP(Y393,'4 - SGs'!$A$4:$E$24,2))</f>
        <v/>
      </c>
      <c r="AA393" s="149"/>
      <c r="AB393" s="149"/>
      <c r="AC393" s="149"/>
      <c r="AD393" s="149"/>
      <c r="AE393" s="153"/>
    </row>
    <row r="394" spans="11:31" s="150" customFormat="1" ht="12">
      <c r="K394" s="154"/>
      <c r="L394" s="154"/>
      <c r="M394" s="151"/>
      <c r="P394" s="152"/>
      <c r="Q394" s="157"/>
      <c r="R394" s="152"/>
      <c r="S394" s="157"/>
      <c r="T394" s="152"/>
      <c r="U394" s="157"/>
      <c r="V394" s="151"/>
      <c r="W394" s="151"/>
      <c r="X394" s="155" t="str">
        <f t="shared" si="7"/>
        <v/>
      </c>
      <c r="Y394" s="152"/>
      <c r="Z394" s="158" t="str">
        <f>IF(ISERROR(VLOOKUP(Y394,'4 - SGs'!$A$4:$E$24,2)),"",VLOOKUP(Y394,'4 - SGs'!$A$4:$E$24,2))</f>
        <v/>
      </c>
      <c r="AA394" s="149"/>
      <c r="AB394" s="149"/>
      <c r="AC394" s="149"/>
      <c r="AD394" s="149"/>
      <c r="AE394" s="153"/>
    </row>
    <row r="395" spans="11:31" s="150" customFormat="1" ht="12">
      <c r="K395" s="154"/>
      <c r="L395" s="154"/>
      <c r="M395" s="151"/>
      <c r="P395" s="152"/>
      <c r="Q395" s="157"/>
      <c r="R395" s="152"/>
      <c r="S395" s="157"/>
      <c r="T395" s="152"/>
      <c r="U395" s="157"/>
      <c r="V395" s="151"/>
      <c r="W395" s="151"/>
      <c r="X395" s="155" t="str">
        <f t="shared" si="7"/>
        <v/>
      </c>
      <c r="Y395" s="152"/>
      <c r="Z395" s="158" t="str">
        <f>IF(ISERROR(VLOOKUP(Y395,'4 - SGs'!$A$4:$E$24,2)),"",VLOOKUP(Y395,'4 - SGs'!$A$4:$E$24,2))</f>
        <v/>
      </c>
      <c r="AA395" s="149"/>
      <c r="AB395" s="149"/>
      <c r="AC395" s="149"/>
      <c r="AD395" s="149"/>
      <c r="AE395" s="153"/>
    </row>
    <row r="396" spans="11:31" s="150" customFormat="1" ht="12">
      <c r="K396" s="154"/>
      <c r="L396" s="154"/>
      <c r="M396" s="151"/>
      <c r="P396" s="152"/>
      <c r="Q396" s="157"/>
      <c r="R396" s="152"/>
      <c r="S396" s="157"/>
      <c r="T396" s="152"/>
      <c r="U396" s="157"/>
      <c r="V396" s="151"/>
      <c r="W396" s="151"/>
      <c r="X396" s="155" t="str">
        <f t="shared" si="7"/>
        <v/>
      </c>
      <c r="Y396" s="152"/>
      <c r="Z396" s="158" t="str">
        <f>IF(ISERROR(VLOOKUP(Y396,'4 - SGs'!$A$4:$E$24,2)),"",VLOOKUP(Y396,'4 - SGs'!$A$4:$E$24,2))</f>
        <v/>
      </c>
      <c r="AA396" s="149"/>
      <c r="AB396" s="149"/>
      <c r="AC396" s="149"/>
      <c r="AD396" s="149"/>
      <c r="AE396" s="153"/>
    </row>
    <row r="397" spans="11:31" s="150" customFormat="1" ht="12">
      <c r="K397" s="154"/>
      <c r="L397" s="154"/>
      <c r="M397" s="151"/>
      <c r="P397" s="152"/>
      <c r="Q397" s="157"/>
      <c r="R397" s="152"/>
      <c r="S397" s="157"/>
      <c r="T397" s="152"/>
      <c r="U397" s="157"/>
      <c r="V397" s="151"/>
      <c r="W397" s="151"/>
      <c r="X397" s="155" t="str">
        <f t="shared" si="7"/>
        <v/>
      </c>
      <c r="Y397" s="152"/>
      <c r="Z397" s="158" t="str">
        <f>IF(ISERROR(VLOOKUP(Y397,'4 - SGs'!$A$4:$E$24,2)),"",VLOOKUP(Y397,'4 - SGs'!$A$4:$E$24,2))</f>
        <v/>
      </c>
      <c r="AA397" s="149"/>
      <c r="AB397" s="149"/>
      <c r="AC397" s="149"/>
      <c r="AD397" s="149"/>
      <c r="AE397" s="153"/>
    </row>
    <row r="398" spans="11:31" s="150" customFormat="1" ht="12">
      <c r="K398" s="154"/>
      <c r="L398" s="154"/>
      <c r="M398" s="151"/>
      <c r="P398" s="152"/>
      <c r="Q398" s="157"/>
      <c r="R398" s="152"/>
      <c r="S398" s="157"/>
      <c r="T398" s="152"/>
      <c r="U398" s="157"/>
      <c r="V398" s="151"/>
      <c r="W398" s="151"/>
      <c r="X398" s="155" t="str">
        <f t="shared" si="7"/>
        <v/>
      </c>
      <c r="Y398" s="152"/>
      <c r="Z398" s="158" t="str">
        <f>IF(ISERROR(VLOOKUP(Y398,'4 - SGs'!$A$4:$E$24,2)),"",VLOOKUP(Y398,'4 - SGs'!$A$4:$E$24,2))</f>
        <v/>
      </c>
      <c r="AA398" s="149"/>
      <c r="AB398" s="149"/>
      <c r="AC398" s="149"/>
      <c r="AD398" s="149"/>
      <c r="AE398" s="153"/>
    </row>
    <row r="399" spans="11:31" s="150" customFormat="1" ht="12">
      <c r="K399" s="154"/>
      <c r="L399" s="154"/>
      <c r="M399" s="151"/>
      <c r="P399" s="152"/>
      <c r="Q399" s="157"/>
      <c r="R399" s="152"/>
      <c r="S399" s="157"/>
      <c r="T399" s="152"/>
      <c r="U399" s="157"/>
      <c r="V399" s="151"/>
      <c r="W399" s="151"/>
      <c r="X399" s="155" t="str">
        <f t="shared" si="7"/>
        <v/>
      </c>
      <c r="Y399" s="152"/>
      <c r="Z399" s="158" t="str">
        <f>IF(ISERROR(VLOOKUP(Y399,'4 - SGs'!$A$4:$E$24,2)),"",VLOOKUP(Y399,'4 - SGs'!$A$4:$E$24,2))</f>
        <v/>
      </c>
      <c r="AA399" s="149"/>
      <c r="AB399" s="149"/>
      <c r="AC399" s="149"/>
      <c r="AD399" s="149"/>
      <c r="AE399" s="153"/>
    </row>
    <row r="400" spans="11:31" s="150" customFormat="1" ht="12">
      <c r="K400" s="154"/>
      <c r="L400" s="154"/>
      <c r="M400" s="151"/>
      <c r="P400" s="152"/>
      <c r="Q400" s="157"/>
      <c r="R400" s="152"/>
      <c r="S400" s="157"/>
      <c r="T400" s="152"/>
      <c r="U400" s="157"/>
      <c r="V400" s="151"/>
      <c r="W400" s="151"/>
      <c r="X400" s="155" t="str">
        <f t="shared" si="7"/>
        <v/>
      </c>
      <c r="Y400" s="152"/>
      <c r="Z400" s="158" t="str">
        <f>IF(ISERROR(VLOOKUP(Y400,'4 - SGs'!$A$4:$E$24,2)),"",VLOOKUP(Y400,'4 - SGs'!$A$4:$E$24,2))</f>
        <v/>
      </c>
      <c r="AA400" s="149"/>
      <c r="AB400" s="149"/>
      <c r="AC400" s="149"/>
      <c r="AD400" s="149"/>
      <c r="AE400" s="153"/>
    </row>
    <row r="401" spans="11:31" s="150" customFormat="1" ht="12">
      <c r="K401" s="154"/>
      <c r="L401" s="154"/>
      <c r="M401" s="151"/>
      <c r="P401" s="152"/>
      <c r="Q401" s="157"/>
      <c r="R401" s="152"/>
      <c r="S401" s="157"/>
      <c r="T401" s="152"/>
      <c r="U401" s="157"/>
      <c r="V401" s="151"/>
      <c r="W401" s="151"/>
      <c r="X401" s="155" t="str">
        <f t="shared" si="7"/>
        <v/>
      </c>
      <c r="Y401" s="152"/>
      <c r="Z401" s="158" t="str">
        <f>IF(ISERROR(VLOOKUP(Y401,'4 - SGs'!$A$4:$E$24,2)),"",VLOOKUP(Y401,'4 - SGs'!$A$4:$E$24,2))</f>
        <v/>
      </c>
      <c r="AA401" s="149"/>
      <c r="AB401" s="149"/>
      <c r="AC401" s="149"/>
      <c r="AD401" s="149"/>
      <c r="AE401" s="153"/>
    </row>
    <row r="402" spans="11:31" s="150" customFormat="1" ht="12">
      <c r="K402" s="154"/>
      <c r="L402" s="154"/>
      <c r="M402" s="151"/>
      <c r="P402" s="152"/>
      <c r="Q402" s="157"/>
      <c r="R402" s="152"/>
      <c r="S402" s="157"/>
      <c r="T402" s="152"/>
      <c r="U402" s="157"/>
      <c r="V402" s="151"/>
      <c r="W402" s="151"/>
      <c r="X402" s="155" t="str">
        <f t="shared" si="7"/>
        <v/>
      </c>
      <c r="Y402" s="152"/>
      <c r="Z402" s="158" t="str">
        <f>IF(ISERROR(VLOOKUP(Y402,'4 - SGs'!$A$4:$E$24,2)),"",VLOOKUP(Y402,'4 - SGs'!$A$4:$E$24,2))</f>
        <v/>
      </c>
      <c r="AA402" s="149"/>
      <c r="AB402" s="149"/>
      <c r="AC402" s="149"/>
      <c r="AD402" s="149"/>
      <c r="AE402" s="153"/>
    </row>
    <row r="403" spans="11:31" s="150" customFormat="1" ht="12">
      <c r="K403" s="154"/>
      <c r="L403" s="154"/>
      <c r="M403" s="151"/>
      <c r="P403" s="152"/>
      <c r="Q403" s="157"/>
      <c r="R403" s="152"/>
      <c r="S403" s="157"/>
      <c r="T403" s="152"/>
      <c r="U403" s="157"/>
      <c r="V403" s="151"/>
      <c r="W403" s="151"/>
      <c r="X403" s="155" t="str">
        <f t="shared" si="7"/>
        <v/>
      </c>
      <c r="Y403" s="152"/>
      <c r="Z403" s="158" t="str">
        <f>IF(ISERROR(VLOOKUP(Y403,'4 - SGs'!$A$4:$E$24,2)),"",VLOOKUP(Y403,'4 - SGs'!$A$4:$E$24,2))</f>
        <v/>
      </c>
      <c r="AA403" s="149"/>
      <c r="AB403" s="149"/>
      <c r="AC403" s="149"/>
      <c r="AD403" s="149"/>
      <c r="AE403" s="153"/>
    </row>
    <row r="404" spans="11:31" s="150" customFormat="1" ht="12">
      <c r="K404" s="154"/>
      <c r="L404" s="154"/>
      <c r="M404" s="151"/>
      <c r="P404" s="152"/>
      <c r="Q404" s="157"/>
      <c r="R404" s="152"/>
      <c r="S404" s="157"/>
      <c r="T404" s="152"/>
      <c r="U404" s="157"/>
      <c r="V404" s="151"/>
      <c r="W404" s="151"/>
      <c r="X404" s="155" t="str">
        <f t="shared" si="7"/>
        <v/>
      </c>
      <c r="Y404" s="152"/>
      <c r="Z404" s="158" t="str">
        <f>IF(ISERROR(VLOOKUP(Y404,'4 - SGs'!$A$4:$E$24,2)),"",VLOOKUP(Y404,'4 - SGs'!$A$4:$E$24,2))</f>
        <v/>
      </c>
      <c r="AA404" s="149"/>
      <c r="AB404" s="149"/>
      <c r="AC404" s="149"/>
      <c r="AD404" s="149"/>
      <c r="AE404" s="153"/>
    </row>
    <row r="405" spans="11:31" s="150" customFormat="1" ht="12">
      <c r="K405" s="154"/>
      <c r="L405" s="154"/>
      <c r="M405" s="151"/>
      <c r="P405" s="152"/>
      <c r="Q405" s="157"/>
      <c r="R405" s="152"/>
      <c r="S405" s="157"/>
      <c r="T405" s="152"/>
      <c r="U405" s="157"/>
      <c r="V405" s="151"/>
      <c r="W405" s="151"/>
      <c r="X405" s="155" t="str">
        <f t="shared" si="7"/>
        <v/>
      </c>
      <c r="Y405" s="152"/>
      <c r="Z405" s="158" t="str">
        <f>IF(ISERROR(VLOOKUP(Y405,'4 - SGs'!$A$4:$E$24,2)),"",VLOOKUP(Y405,'4 - SGs'!$A$4:$E$24,2))</f>
        <v/>
      </c>
      <c r="AA405" s="149"/>
      <c r="AB405" s="149"/>
      <c r="AC405" s="149"/>
      <c r="AD405" s="149"/>
      <c r="AE405" s="153"/>
    </row>
    <row r="406" spans="11:31" s="150" customFormat="1" ht="12">
      <c r="K406" s="154"/>
      <c r="L406" s="154"/>
      <c r="M406" s="151"/>
      <c r="P406" s="152"/>
      <c r="Q406" s="157"/>
      <c r="R406" s="152"/>
      <c r="S406" s="157"/>
      <c r="T406" s="152"/>
      <c r="U406" s="157"/>
      <c r="V406" s="151"/>
      <c r="W406" s="151"/>
      <c r="X406" s="155" t="str">
        <f t="shared" si="7"/>
        <v/>
      </c>
      <c r="Y406" s="152"/>
      <c r="Z406" s="158" t="str">
        <f>IF(ISERROR(VLOOKUP(Y406,'4 - SGs'!$A$4:$E$24,2)),"",VLOOKUP(Y406,'4 - SGs'!$A$4:$E$24,2))</f>
        <v/>
      </c>
      <c r="AA406" s="149"/>
      <c r="AB406" s="149"/>
      <c r="AC406" s="149"/>
      <c r="AD406" s="149"/>
      <c r="AE406" s="153"/>
    </row>
    <row r="407" spans="11:31" s="150" customFormat="1" ht="12">
      <c r="K407" s="154"/>
      <c r="L407" s="154"/>
      <c r="M407" s="151"/>
      <c r="P407" s="152"/>
      <c r="Q407" s="157"/>
      <c r="R407" s="152"/>
      <c r="S407" s="157"/>
      <c r="T407" s="152"/>
      <c r="U407" s="157"/>
      <c r="V407" s="151"/>
      <c r="W407" s="151"/>
      <c r="X407" s="155" t="str">
        <f t="shared" si="7"/>
        <v/>
      </c>
      <c r="Y407" s="152"/>
      <c r="Z407" s="158" t="str">
        <f>IF(ISERROR(VLOOKUP(Y407,'4 - SGs'!$A$4:$E$24,2)),"",VLOOKUP(Y407,'4 - SGs'!$A$4:$E$24,2))</f>
        <v/>
      </c>
      <c r="AA407" s="149"/>
      <c r="AB407" s="149"/>
      <c r="AC407" s="149"/>
      <c r="AD407" s="149"/>
      <c r="AE407" s="153"/>
    </row>
    <row r="408" spans="11:31" s="150" customFormat="1" ht="12">
      <c r="K408" s="154"/>
      <c r="L408" s="154"/>
      <c r="M408" s="151"/>
      <c r="P408" s="152"/>
      <c r="Q408" s="157"/>
      <c r="R408" s="152"/>
      <c r="S408" s="157"/>
      <c r="T408" s="152"/>
      <c r="U408" s="157"/>
      <c r="V408" s="151"/>
      <c r="W408" s="151"/>
      <c r="X408" s="155" t="str">
        <f t="shared" si="7"/>
        <v/>
      </c>
      <c r="Y408" s="152"/>
      <c r="Z408" s="158" t="str">
        <f>IF(ISERROR(VLOOKUP(Y408,'4 - SGs'!$A$4:$E$24,2)),"",VLOOKUP(Y408,'4 - SGs'!$A$4:$E$24,2))</f>
        <v/>
      </c>
      <c r="AA408" s="149"/>
      <c r="AB408" s="149"/>
      <c r="AC408" s="149"/>
      <c r="AD408" s="149"/>
      <c r="AE408" s="153"/>
    </row>
    <row r="409" spans="11:31" s="150" customFormat="1" ht="12">
      <c r="K409" s="154"/>
      <c r="L409" s="154"/>
      <c r="M409" s="151"/>
      <c r="P409" s="152"/>
      <c r="Q409" s="157"/>
      <c r="R409" s="152"/>
      <c r="S409" s="157"/>
      <c r="T409" s="152"/>
      <c r="U409" s="157"/>
      <c r="V409" s="151"/>
      <c r="W409" s="151"/>
      <c r="X409" s="155" t="str">
        <f t="shared" si="7"/>
        <v/>
      </c>
      <c r="Y409" s="152"/>
      <c r="Z409" s="158" t="str">
        <f>IF(ISERROR(VLOOKUP(Y409,'4 - SGs'!$A$4:$E$24,2)),"",VLOOKUP(Y409,'4 - SGs'!$A$4:$E$24,2))</f>
        <v/>
      </c>
      <c r="AA409" s="149"/>
      <c r="AB409" s="149"/>
      <c r="AC409" s="149"/>
      <c r="AD409" s="149"/>
      <c r="AE409" s="153"/>
    </row>
    <row r="410" spans="11:31" s="150" customFormat="1" ht="12">
      <c r="K410" s="154"/>
      <c r="L410" s="154"/>
      <c r="M410" s="151"/>
      <c r="P410" s="152"/>
      <c r="Q410" s="157"/>
      <c r="R410" s="152"/>
      <c r="S410" s="157"/>
      <c r="T410" s="152"/>
      <c r="U410" s="157"/>
      <c r="V410" s="151"/>
      <c r="W410" s="151"/>
      <c r="X410" s="155" t="str">
        <f t="shared" si="7"/>
        <v/>
      </c>
      <c r="Y410" s="152"/>
      <c r="Z410" s="158" t="str">
        <f>IF(ISERROR(VLOOKUP(Y410,'4 - SGs'!$A$4:$E$24,2)),"",VLOOKUP(Y410,'4 - SGs'!$A$4:$E$24,2))</f>
        <v/>
      </c>
      <c r="AA410" s="149"/>
      <c r="AB410" s="149"/>
      <c r="AC410" s="149"/>
      <c r="AD410" s="149"/>
      <c r="AE410" s="153"/>
    </row>
    <row r="411" spans="11:31" s="150" customFormat="1" ht="12">
      <c r="K411" s="154"/>
      <c r="L411" s="154"/>
      <c r="M411" s="151"/>
      <c r="P411" s="152"/>
      <c r="Q411" s="157"/>
      <c r="R411" s="152"/>
      <c r="S411" s="157"/>
      <c r="T411" s="152"/>
      <c r="U411" s="157"/>
      <c r="V411" s="151"/>
      <c r="W411" s="151"/>
      <c r="X411" s="155" t="str">
        <f t="shared" si="7"/>
        <v/>
      </c>
      <c r="Y411" s="152"/>
      <c r="Z411" s="158" t="str">
        <f>IF(ISERROR(VLOOKUP(Y411,'4 - SGs'!$A$4:$E$24,2)),"",VLOOKUP(Y411,'4 - SGs'!$A$4:$E$24,2))</f>
        <v/>
      </c>
      <c r="AA411" s="149"/>
      <c r="AB411" s="149"/>
      <c r="AC411" s="149"/>
      <c r="AD411" s="149"/>
      <c r="AE411" s="153"/>
    </row>
    <row r="412" spans="11:31" s="150" customFormat="1" ht="12">
      <c r="K412" s="154"/>
      <c r="L412" s="154"/>
      <c r="M412" s="151"/>
      <c r="P412" s="152"/>
      <c r="Q412" s="157"/>
      <c r="R412" s="152"/>
      <c r="S412" s="157"/>
      <c r="T412" s="152"/>
      <c r="U412" s="157"/>
      <c r="V412" s="151"/>
      <c r="W412" s="151"/>
      <c r="X412" s="155" t="str">
        <f t="shared" si="7"/>
        <v/>
      </c>
      <c r="Y412" s="152"/>
      <c r="Z412" s="158" t="str">
        <f>IF(ISERROR(VLOOKUP(Y412,'4 - SGs'!$A$4:$E$24,2)),"",VLOOKUP(Y412,'4 - SGs'!$A$4:$E$24,2))</f>
        <v/>
      </c>
      <c r="AA412" s="149"/>
      <c r="AB412" s="149"/>
      <c r="AC412" s="149"/>
      <c r="AD412" s="149"/>
      <c r="AE412" s="153"/>
    </row>
    <row r="413" spans="11:31" s="150" customFormat="1" ht="12">
      <c r="K413" s="154"/>
      <c r="L413" s="154"/>
      <c r="M413" s="151"/>
      <c r="P413" s="152"/>
      <c r="Q413" s="157"/>
      <c r="R413" s="152"/>
      <c r="S413" s="157"/>
      <c r="T413" s="152"/>
      <c r="U413" s="157"/>
      <c r="V413" s="151"/>
      <c r="W413" s="151"/>
      <c r="X413" s="155" t="str">
        <f t="shared" si="7"/>
        <v/>
      </c>
      <c r="Y413" s="152"/>
      <c r="Z413" s="158" t="str">
        <f>IF(ISERROR(VLOOKUP(Y413,'4 - SGs'!$A$4:$E$24,2)),"",VLOOKUP(Y413,'4 - SGs'!$A$4:$E$24,2))</f>
        <v/>
      </c>
      <c r="AA413" s="149"/>
      <c r="AB413" s="149"/>
      <c r="AC413" s="149"/>
      <c r="AD413" s="149"/>
      <c r="AE413" s="153"/>
    </row>
    <row r="414" spans="11:31" s="150" customFormat="1" ht="12">
      <c r="K414" s="154"/>
      <c r="L414" s="154"/>
      <c r="M414" s="151"/>
      <c r="P414" s="152"/>
      <c r="Q414" s="157"/>
      <c r="R414" s="152"/>
      <c r="S414" s="157"/>
      <c r="T414" s="152"/>
      <c r="U414" s="157"/>
      <c r="V414" s="151"/>
      <c r="W414" s="151"/>
      <c r="X414" s="155" t="str">
        <f t="shared" si="7"/>
        <v/>
      </c>
      <c r="Y414" s="152"/>
      <c r="Z414" s="158" t="str">
        <f>IF(ISERROR(VLOOKUP(Y414,'4 - SGs'!$A$4:$E$24,2)),"",VLOOKUP(Y414,'4 - SGs'!$A$4:$E$24,2))</f>
        <v/>
      </c>
      <c r="AA414" s="149"/>
      <c r="AB414" s="149"/>
      <c r="AC414" s="149"/>
      <c r="AD414" s="149"/>
      <c r="AE414" s="153"/>
    </row>
    <row r="415" spans="11:31" s="150" customFormat="1" ht="12">
      <c r="K415" s="154"/>
      <c r="L415" s="154"/>
      <c r="M415" s="151"/>
      <c r="P415" s="152"/>
      <c r="Q415" s="157"/>
      <c r="R415" s="152"/>
      <c r="S415" s="157"/>
      <c r="T415" s="152"/>
      <c r="U415" s="157"/>
      <c r="V415" s="151"/>
      <c r="W415" s="151"/>
      <c r="X415" s="155" t="str">
        <f t="shared" si="7"/>
        <v/>
      </c>
      <c r="Y415" s="152"/>
      <c r="Z415" s="158" t="str">
        <f>IF(ISERROR(VLOOKUP(Y415,'4 - SGs'!$A$4:$E$24,2)),"",VLOOKUP(Y415,'4 - SGs'!$A$4:$E$24,2))</f>
        <v/>
      </c>
      <c r="AA415" s="149"/>
      <c r="AB415" s="149"/>
      <c r="AC415" s="149"/>
      <c r="AD415" s="149"/>
      <c r="AE415" s="153"/>
    </row>
    <row r="416" spans="11:31" s="150" customFormat="1" ht="12">
      <c r="K416" s="154"/>
      <c r="L416" s="154"/>
      <c r="M416" s="151"/>
      <c r="P416" s="152"/>
      <c r="Q416" s="157"/>
      <c r="R416" s="152"/>
      <c r="S416" s="157"/>
      <c r="T416" s="152"/>
      <c r="U416" s="157"/>
      <c r="V416" s="151"/>
      <c r="W416" s="151"/>
      <c r="X416" s="155" t="str">
        <f t="shared" si="7"/>
        <v/>
      </c>
      <c r="Y416" s="152"/>
      <c r="Z416" s="158" t="str">
        <f>IF(ISERROR(VLOOKUP(Y416,'4 - SGs'!$A$4:$E$24,2)),"",VLOOKUP(Y416,'4 - SGs'!$A$4:$E$24,2))</f>
        <v/>
      </c>
      <c r="AA416" s="149"/>
      <c r="AB416" s="149"/>
      <c r="AC416" s="149"/>
      <c r="AD416" s="149"/>
      <c r="AE416" s="153"/>
    </row>
    <row r="417" spans="11:31" s="150" customFormat="1" ht="12">
      <c r="K417" s="154"/>
      <c r="L417" s="154"/>
      <c r="M417" s="151"/>
      <c r="P417" s="152"/>
      <c r="Q417" s="157"/>
      <c r="R417" s="152"/>
      <c r="S417" s="157"/>
      <c r="T417" s="152"/>
      <c r="U417" s="157"/>
      <c r="V417" s="151"/>
      <c r="W417" s="151"/>
      <c r="X417" s="155" t="str">
        <f t="shared" si="7"/>
        <v/>
      </c>
      <c r="Y417" s="152"/>
      <c r="Z417" s="158" t="str">
        <f>IF(ISERROR(VLOOKUP(Y417,'4 - SGs'!$A$4:$E$24,2)),"",VLOOKUP(Y417,'4 - SGs'!$A$4:$E$24,2))</f>
        <v/>
      </c>
      <c r="AA417" s="149"/>
      <c r="AB417" s="149"/>
      <c r="AC417" s="149"/>
      <c r="AD417" s="149"/>
      <c r="AE417" s="153"/>
    </row>
    <row r="418" spans="11:31" s="150" customFormat="1" ht="12">
      <c r="K418" s="154"/>
      <c r="L418" s="154"/>
      <c r="M418" s="151"/>
      <c r="P418" s="152"/>
      <c r="Q418" s="157"/>
      <c r="R418" s="152"/>
      <c r="S418" s="157"/>
      <c r="T418" s="152"/>
      <c r="U418" s="157"/>
      <c r="V418" s="151"/>
      <c r="W418" s="151"/>
      <c r="X418" s="155" t="str">
        <f t="shared" si="7"/>
        <v/>
      </c>
      <c r="Y418" s="152"/>
      <c r="Z418" s="158" t="str">
        <f>IF(ISERROR(VLOOKUP(Y418,'4 - SGs'!$A$4:$E$24,2)),"",VLOOKUP(Y418,'4 - SGs'!$A$4:$E$24,2))</f>
        <v/>
      </c>
      <c r="AA418" s="149"/>
      <c r="AB418" s="149"/>
      <c r="AC418" s="149"/>
      <c r="AD418" s="149"/>
      <c r="AE418" s="153"/>
    </row>
    <row r="419" spans="11:31" s="150" customFormat="1" ht="12">
      <c r="K419" s="154"/>
      <c r="L419" s="154"/>
      <c r="M419" s="151"/>
      <c r="P419" s="152"/>
      <c r="Q419" s="157"/>
      <c r="R419" s="152"/>
      <c r="S419" s="157"/>
      <c r="T419" s="152"/>
      <c r="U419" s="157"/>
      <c r="V419" s="151"/>
      <c r="W419" s="151"/>
      <c r="X419" s="155" t="str">
        <f t="shared" si="7"/>
        <v/>
      </c>
      <c r="Y419" s="152"/>
      <c r="Z419" s="158" t="str">
        <f>IF(ISERROR(VLOOKUP(Y419,'4 - SGs'!$A$4:$E$24,2)),"",VLOOKUP(Y419,'4 - SGs'!$A$4:$E$24,2))</f>
        <v/>
      </c>
      <c r="AA419" s="149"/>
      <c r="AB419" s="149"/>
      <c r="AC419" s="149"/>
      <c r="AD419" s="149"/>
      <c r="AE419" s="153"/>
    </row>
    <row r="420" spans="11:31" s="150" customFormat="1" ht="12">
      <c r="K420" s="154"/>
      <c r="L420" s="154"/>
      <c r="M420" s="151"/>
      <c r="P420" s="152"/>
      <c r="Q420" s="157"/>
      <c r="R420" s="152"/>
      <c r="S420" s="157"/>
      <c r="T420" s="152"/>
      <c r="U420" s="157"/>
      <c r="V420" s="151"/>
      <c r="W420" s="151"/>
      <c r="X420" s="155" t="str">
        <f t="shared" si="7"/>
        <v/>
      </c>
      <c r="Y420" s="152"/>
      <c r="Z420" s="158" t="str">
        <f>IF(ISERROR(VLOOKUP(Y420,'4 - SGs'!$A$4:$E$24,2)),"",VLOOKUP(Y420,'4 - SGs'!$A$4:$E$24,2))</f>
        <v/>
      </c>
      <c r="AA420" s="149"/>
      <c r="AB420" s="149"/>
      <c r="AC420" s="149"/>
      <c r="AD420" s="149"/>
      <c r="AE420" s="153"/>
    </row>
    <row r="421" spans="11:31" s="150" customFormat="1" ht="12">
      <c r="K421" s="154"/>
      <c r="L421" s="154"/>
      <c r="M421" s="151"/>
      <c r="P421" s="152"/>
      <c r="Q421" s="157"/>
      <c r="R421" s="152"/>
      <c r="S421" s="157"/>
      <c r="T421" s="152"/>
      <c r="U421" s="157"/>
      <c r="V421" s="151"/>
      <c r="W421" s="151"/>
      <c r="X421" s="155" t="str">
        <f t="shared" si="7"/>
        <v/>
      </c>
      <c r="Y421" s="152"/>
      <c r="Z421" s="158" t="str">
        <f>IF(ISERROR(VLOOKUP(Y421,'4 - SGs'!$A$4:$E$24,2)),"",VLOOKUP(Y421,'4 - SGs'!$A$4:$E$24,2))</f>
        <v/>
      </c>
      <c r="AA421" s="149"/>
      <c r="AB421" s="149"/>
      <c r="AC421" s="149"/>
      <c r="AD421" s="149"/>
      <c r="AE421" s="153"/>
    </row>
    <row r="422" spans="11:31" s="150" customFormat="1" ht="12">
      <c r="K422" s="154"/>
      <c r="L422" s="154"/>
      <c r="M422" s="151"/>
      <c r="P422" s="152"/>
      <c r="Q422" s="157"/>
      <c r="R422" s="152"/>
      <c r="S422" s="157"/>
      <c r="T422" s="152"/>
      <c r="U422" s="157"/>
      <c r="V422" s="151"/>
      <c r="W422" s="151"/>
      <c r="X422" s="155" t="str">
        <f t="shared" si="7"/>
        <v/>
      </c>
      <c r="Y422" s="152"/>
      <c r="Z422" s="158" t="str">
        <f>IF(ISERROR(VLOOKUP(Y422,'4 - SGs'!$A$4:$E$24,2)),"",VLOOKUP(Y422,'4 - SGs'!$A$4:$E$24,2))</f>
        <v/>
      </c>
      <c r="AA422" s="149"/>
      <c r="AB422" s="149"/>
      <c r="AC422" s="149"/>
      <c r="AD422" s="149"/>
      <c r="AE422" s="153"/>
    </row>
    <row r="423" spans="11:31" s="150" customFormat="1" ht="12">
      <c r="K423" s="154"/>
      <c r="L423" s="154"/>
      <c r="M423" s="151"/>
      <c r="P423" s="152"/>
      <c r="Q423" s="157"/>
      <c r="R423" s="152"/>
      <c r="S423" s="157"/>
      <c r="T423" s="152"/>
      <c r="U423" s="157"/>
      <c r="V423" s="151"/>
      <c r="W423" s="151"/>
      <c r="X423" s="155" t="str">
        <f t="shared" si="7"/>
        <v/>
      </c>
      <c r="Y423" s="152"/>
      <c r="Z423" s="158" t="str">
        <f>IF(ISERROR(VLOOKUP(Y423,'4 - SGs'!$A$4:$E$24,2)),"",VLOOKUP(Y423,'4 - SGs'!$A$4:$E$24,2))</f>
        <v/>
      </c>
      <c r="AA423" s="149"/>
      <c r="AB423" s="149"/>
      <c r="AC423" s="149"/>
      <c r="AD423" s="149"/>
      <c r="AE423" s="153"/>
    </row>
    <row r="424" spans="11:31" s="150" customFormat="1" ht="12">
      <c r="K424" s="154"/>
      <c r="L424" s="154"/>
      <c r="M424" s="151"/>
      <c r="P424" s="152"/>
      <c r="Q424" s="157"/>
      <c r="R424" s="152"/>
      <c r="S424" s="157"/>
      <c r="T424" s="152"/>
      <c r="U424" s="157"/>
      <c r="V424" s="151"/>
      <c r="W424" s="151"/>
      <c r="X424" s="155" t="str">
        <f t="shared" si="7"/>
        <v/>
      </c>
      <c r="Y424" s="152"/>
      <c r="Z424" s="158" t="str">
        <f>IF(ISERROR(VLOOKUP(Y424,'4 - SGs'!$A$4:$E$24,2)),"",VLOOKUP(Y424,'4 - SGs'!$A$4:$E$24,2))</f>
        <v/>
      </c>
      <c r="AA424" s="149"/>
      <c r="AB424" s="149"/>
      <c r="AC424" s="149"/>
      <c r="AD424" s="149"/>
      <c r="AE424" s="153"/>
    </row>
    <row r="425" spans="11:31" s="150" customFormat="1" ht="12">
      <c r="K425" s="154"/>
      <c r="L425" s="154"/>
      <c r="M425" s="151"/>
      <c r="P425" s="152"/>
      <c r="Q425" s="157"/>
      <c r="R425" s="152"/>
      <c r="S425" s="157"/>
      <c r="T425" s="152"/>
      <c r="U425" s="157"/>
      <c r="V425" s="151"/>
      <c r="W425" s="151"/>
      <c r="X425" s="155" t="str">
        <f t="shared" si="7"/>
        <v/>
      </c>
      <c r="Y425" s="152"/>
      <c r="Z425" s="158" t="str">
        <f>IF(ISERROR(VLOOKUP(Y425,'4 - SGs'!$A$4:$E$24,2)),"",VLOOKUP(Y425,'4 - SGs'!$A$4:$E$24,2))</f>
        <v/>
      </c>
      <c r="AA425" s="149"/>
      <c r="AB425" s="149"/>
      <c r="AC425" s="149"/>
      <c r="AD425" s="149"/>
      <c r="AE425" s="153"/>
    </row>
    <row r="426" spans="11:31" s="150" customFormat="1" ht="12">
      <c r="K426" s="154"/>
      <c r="L426" s="154"/>
      <c r="M426" s="151"/>
      <c r="P426" s="152"/>
      <c r="Q426" s="157"/>
      <c r="R426" s="152"/>
      <c r="S426" s="157"/>
      <c r="T426" s="152"/>
      <c r="U426" s="157"/>
      <c r="V426" s="151"/>
      <c r="W426" s="151"/>
      <c r="X426" s="155" t="str">
        <f t="shared" si="7"/>
        <v/>
      </c>
      <c r="Y426" s="152"/>
      <c r="Z426" s="158" t="str">
        <f>IF(ISERROR(VLOOKUP(Y426,'4 - SGs'!$A$4:$E$24,2)),"",VLOOKUP(Y426,'4 - SGs'!$A$4:$E$24,2))</f>
        <v/>
      </c>
      <c r="AA426" s="149"/>
      <c r="AB426" s="149"/>
      <c r="AC426" s="149"/>
      <c r="AD426" s="149"/>
      <c r="AE426" s="153"/>
    </row>
    <row r="427" spans="11:31" s="150" customFormat="1" ht="12">
      <c r="K427" s="154"/>
      <c r="L427" s="154"/>
      <c r="M427" s="151"/>
      <c r="P427" s="152"/>
      <c r="Q427" s="157"/>
      <c r="R427" s="152"/>
      <c r="S427" s="157"/>
      <c r="T427" s="152"/>
      <c r="U427" s="157"/>
      <c r="V427" s="151"/>
      <c r="W427" s="151"/>
      <c r="X427" s="155" t="str">
        <f t="shared" si="7"/>
        <v/>
      </c>
      <c r="Y427" s="152"/>
      <c r="Z427" s="158" t="str">
        <f>IF(ISERROR(VLOOKUP(Y427,'4 - SGs'!$A$4:$E$24,2)),"",VLOOKUP(Y427,'4 - SGs'!$A$4:$E$24,2))</f>
        <v/>
      </c>
      <c r="AA427" s="149"/>
      <c r="AB427" s="149"/>
      <c r="AC427" s="149"/>
      <c r="AD427" s="149"/>
      <c r="AE427" s="153"/>
    </row>
    <row r="428" spans="11:31" s="150" customFormat="1" ht="12">
      <c r="K428" s="154"/>
      <c r="L428" s="154"/>
      <c r="M428" s="151"/>
      <c r="P428" s="152"/>
      <c r="Q428" s="157"/>
      <c r="R428" s="152"/>
      <c r="S428" s="157"/>
      <c r="T428" s="152"/>
      <c r="U428" s="157"/>
      <c r="V428" s="151"/>
      <c r="W428" s="151"/>
      <c r="X428" s="155" t="str">
        <f t="shared" si="7"/>
        <v/>
      </c>
      <c r="Y428" s="152"/>
      <c r="Z428" s="158" t="str">
        <f>IF(ISERROR(VLOOKUP(Y428,'4 - SGs'!$A$4:$E$24,2)),"",VLOOKUP(Y428,'4 - SGs'!$A$4:$E$24,2))</f>
        <v/>
      </c>
      <c r="AA428" s="149"/>
      <c r="AB428" s="149"/>
      <c r="AC428" s="149"/>
      <c r="AD428" s="149"/>
      <c r="AE428" s="153"/>
    </row>
    <row r="429" spans="11:31" s="150" customFormat="1" ht="12">
      <c r="K429" s="154"/>
      <c r="L429" s="154"/>
      <c r="M429" s="151"/>
      <c r="P429" s="152"/>
      <c r="Q429" s="157"/>
      <c r="R429" s="152"/>
      <c r="S429" s="157"/>
      <c r="T429" s="152"/>
      <c r="U429" s="157"/>
      <c r="V429" s="151"/>
      <c r="W429" s="151"/>
      <c r="X429" s="155" t="str">
        <f t="shared" si="7"/>
        <v/>
      </c>
      <c r="Y429" s="152"/>
      <c r="Z429" s="158" t="str">
        <f>IF(ISERROR(VLOOKUP(Y429,'4 - SGs'!$A$4:$E$24,2)),"",VLOOKUP(Y429,'4 - SGs'!$A$4:$E$24,2))</f>
        <v/>
      </c>
      <c r="AA429" s="149"/>
      <c r="AB429" s="149"/>
      <c r="AC429" s="149"/>
      <c r="AD429" s="149"/>
      <c r="AE429" s="153"/>
    </row>
    <row r="430" spans="11:31" s="150" customFormat="1" ht="12">
      <c r="K430" s="154"/>
      <c r="L430" s="154"/>
      <c r="M430" s="151"/>
      <c r="P430" s="152"/>
      <c r="Q430" s="157"/>
      <c r="R430" s="152"/>
      <c r="S430" s="157"/>
      <c r="T430" s="152"/>
      <c r="U430" s="157"/>
      <c r="V430" s="151"/>
      <c r="W430" s="151"/>
      <c r="X430" s="155" t="str">
        <f t="shared" si="7"/>
        <v/>
      </c>
      <c r="Y430" s="152"/>
      <c r="Z430" s="158" t="str">
        <f>IF(ISERROR(VLOOKUP(Y430,'4 - SGs'!$A$4:$E$24,2)),"",VLOOKUP(Y430,'4 - SGs'!$A$4:$E$24,2))</f>
        <v/>
      </c>
      <c r="AA430" s="149"/>
      <c r="AB430" s="149"/>
      <c r="AC430" s="149"/>
      <c r="AD430" s="149"/>
      <c r="AE430" s="153"/>
    </row>
    <row r="431" spans="11:31" s="150" customFormat="1" ht="12">
      <c r="K431" s="154"/>
      <c r="L431" s="154"/>
      <c r="M431" s="151"/>
      <c r="P431" s="152"/>
      <c r="Q431" s="157"/>
      <c r="R431" s="152"/>
      <c r="S431" s="157"/>
      <c r="T431" s="152"/>
      <c r="U431" s="157"/>
      <c r="V431" s="151"/>
      <c r="W431" s="151"/>
      <c r="X431" s="155" t="str">
        <f t="shared" si="7"/>
        <v/>
      </c>
      <c r="Y431" s="152"/>
      <c r="Z431" s="158" t="str">
        <f>IF(ISERROR(VLOOKUP(Y431,'4 - SGs'!$A$4:$E$24,2)),"",VLOOKUP(Y431,'4 - SGs'!$A$4:$E$24,2))</f>
        <v/>
      </c>
      <c r="AA431" s="149"/>
      <c r="AB431" s="149"/>
      <c r="AC431" s="149"/>
      <c r="AD431" s="149"/>
      <c r="AE431" s="153"/>
    </row>
    <row r="432" spans="11:31" s="150" customFormat="1" ht="12">
      <c r="K432" s="154"/>
      <c r="L432" s="154"/>
      <c r="M432" s="151"/>
      <c r="P432" s="152"/>
      <c r="Q432" s="157"/>
      <c r="R432" s="152"/>
      <c r="S432" s="157"/>
      <c r="T432" s="152"/>
      <c r="U432" s="157"/>
      <c r="V432" s="151"/>
      <c r="W432" s="151"/>
      <c r="X432" s="155" t="str">
        <f t="shared" si="7"/>
        <v/>
      </c>
      <c r="Y432" s="152"/>
      <c r="Z432" s="158" t="str">
        <f>IF(ISERROR(VLOOKUP(Y432,'4 - SGs'!$A$4:$E$24,2)),"",VLOOKUP(Y432,'4 - SGs'!$A$4:$E$24,2))</f>
        <v/>
      </c>
      <c r="AA432" s="149"/>
      <c r="AB432" s="149"/>
      <c r="AC432" s="149"/>
      <c r="AD432" s="149"/>
      <c r="AE432" s="153"/>
    </row>
    <row r="433" spans="11:31" s="150" customFormat="1" ht="12">
      <c r="K433" s="154"/>
      <c r="L433" s="154"/>
      <c r="M433" s="151"/>
      <c r="P433" s="152"/>
      <c r="Q433" s="157"/>
      <c r="R433" s="152"/>
      <c r="S433" s="157"/>
      <c r="T433" s="152"/>
      <c r="U433" s="157"/>
      <c r="V433" s="151"/>
      <c r="W433" s="151"/>
      <c r="X433" s="155" t="str">
        <f t="shared" si="7"/>
        <v/>
      </c>
      <c r="Y433" s="152"/>
      <c r="Z433" s="158" t="str">
        <f>IF(ISERROR(VLOOKUP(Y433,'4 - SGs'!$A$4:$E$24,2)),"",VLOOKUP(Y433,'4 - SGs'!$A$4:$E$24,2))</f>
        <v/>
      </c>
      <c r="AA433" s="149"/>
      <c r="AB433" s="149"/>
      <c r="AC433" s="149"/>
      <c r="AD433" s="149"/>
      <c r="AE433" s="153"/>
    </row>
    <row r="434" spans="11:31" s="150" customFormat="1" ht="12">
      <c r="K434" s="154"/>
      <c r="L434" s="154"/>
      <c r="M434" s="151"/>
      <c r="P434" s="152"/>
      <c r="Q434" s="157"/>
      <c r="R434" s="152"/>
      <c r="S434" s="157"/>
      <c r="T434" s="152"/>
      <c r="U434" s="157"/>
      <c r="V434" s="151"/>
      <c r="W434" s="151"/>
      <c r="X434" s="155" t="str">
        <f t="shared" si="7"/>
        <v/>
      </c>
      <c r="Y434" s="152"/>
      <c r="Z434" s="158" t="str">
        <f>IF(ISERROR(VLOOKUP(Y434,'4 - SGs'!$A$4:$E$24,2)),"",VLOOKUP(Y434,'4 - SGs'!$A$4:$E$24,2))</f>
        <v/>
      </c>
      <c r="AA434" s="149"/>
      <c r="AB434" s="149"/>
      <c r="AC434" s="149"/>
      <c r="AD434" s="149"/>
      <c r="AE434" s="153"/>
    </row>
    <row r="435" spans="11:31" s="150" customFormat="1" ht="12">
      <c r="K435" s="154"/>
      <c r="L435" s="154"/>
      <c r="M435" s="151"/>
      <c r="P435" s="152"/>
      <c r="Q435" s="157"/>
      <c r="R435" s="152"/>
      <c r="S435" s="157"/>
      <c r="T435" s="152"/>
      <c r="U435" s="157"/>
      <c r="V435" s="151"/>
      <c r="W435" s="151"/>
      <c r="X435" s="155" t="str">
        <f t="shared" si="7"/>
        <v/>
      </c>
      <c r="Y435" s="152"/>
      <c r="Z435" s="158" t="str">
        <f>IF(ISERROR(VLOOKUP(Y435,'4 - SGs'!$A$4:$E$24,2)),"",VLOOKUP(Y435,'4 - SGs'!$A$4:$E$24,2))</f>
        <v/>
      </c>
      <c r="AA435" s="149"/>
      <c r="AB435" s="149"/>
      <c r="AC435" s="149"/>
      <c r="AD435" s="149"/>
      <c r="AE435" s="153"/>
    </row>
    <row r="436" spans="11:31" s="150" customFormat="1" ht="12">
      <c r="K436" s="154"/>
      <c r="L436" s="154"/>
      <c r="M436" s="151"/>
      <c r="P436" s="152"/>
      <c r="Q436" s="157"/>
      <c r="R436" s="152"/>
      <c r="S436" s="157"/>
      <c r="T436" s="152"/>
      <c r="U436" s="157"/>
      <c r="V436" s="151"/>
      <c r="W436" s="151"/>
      <c r="X436" s="155" t="str">
        <f t="shared" si="7"/>
        <v/>
      </c>
      <c r="Y436" s="152"/>
      <c r="Z436" s="158" t="str">
        <f>IF(ISERROR(VLOOKUP(Y436,'4 - SGs'!$A$4:$E$24,2)),"",VLOOKUP(Y436,'4 - SGs'!$A$4:$E$24,2))</f>
        <v/>
      </c>
      <c r="AA436" s="149"/>
      <c r="AB436" s="149"/>
      <c r="AC436" s="149"/>
      <c r="AD436" s="149"/>
      <c r="AE436" s="153"/>
    </row>
    <row r="437" spans="11:31" s="150" customFormat="1" ht="12">
      <c r="K437" s="154"/>
      <c r="L437" s="154"/>
      <c r="M437" s="151"/>
      <c r="P437" s="152"/>
      <c r="Q437" s="157"/>
      <c r="R437" s="152"/>
      <c r="S437" s="157"/>
      <c r="T437" s="152"/>
      <c r="U437" s="157"/>
      <c r="V437" s="151"/>
      <c r="W437" s="151"/>
      <c r="X437" s="155" t="str">
        <f t="shared" si="7"/>
        <v/>
      </c>
      <c r="Y437" s="152"/>
      <c r="Z437" s="158" t="str">
        <f>IF(ISERROR(VLOOKUP(Y437,'4 - SGs'!$A$4:$E$24,2)),"",VLOOKUP(Y437,'4 - SGs'!$A$4:$E$24,2))</f>
        <v/>
      </c>
      <c r="AA437" s="149"/>
      <c r="AB437" s="149"/>
      <c r="AC437" s="149"/>
      <c r="AD437" s="149"/>
      <c r="AE437" s="153"/>
    </row>
    <row r="438" spans="11:31" s="150" customFormat="1" ht="12">
      <c r="K438" s="154"/>
      <c r="L438" s="154"/>
      <c r="M438" s="151"/>
      <c r="P438" s="152"/>
      <c r="Q438" s="157"/>
      <c r="R438" s="152"/>
      <c r="S438" s="157"/>
      <c r="T438" s="152"/>
      <c r="U438" s="157"/>
      <c r="V438" s="151"/>
      <c r="W438" s="151"/>
      <c r="X438" s="155" t="str">
        <f t="shared" si="7"/>
        <v/>
      </c>
      <c r="Y438" s="152"/>
      <c r="Z438" s="158" t="str">
        <f>IF(ISERROR(VLOOKUP(Y438,'4 - SGs'!$A$4:$E$24,2)),"",VLOOKUP(Y438,'4 - SGs'!$A$4:$E$24,2))</f>
        <v/>
      </c>
      <c r="AA438" s="149"/>
      <c r="AB438" s="149"/>
      <c r="AC438" s="149"/>
      <c r="AD438" s="149"/>
      <c r="AE438" s="153"/>
    </row>
    <row r="439" spans="11:31" s="150" customFormat="1" ht="12">
      <c r="K439" s="154"/>
      <c r="L439" s="154"/>
      <c r="M439" s="151"/>
      <c r="P439" s="152"/>
      <c r="Q439" s="157"/>
      <c r="R439" s="152"/>
      <c r="S439" s="157"/>
      <c r="T439" s="152"/>
      <c r="U439" s="157"/>
      <c r="V439" s="151"/>
      <c r="W439" s="151"/>
      <c r="X439" s="155" t="str">
        <f t="shared" si="7"/>
        <v/>
      </c>
      <c r="Y439" s="152"/>
      <c r="Z439" s="158" t="str">
        <f>IF(ISERROR(VLOOKUP(Y439,'4 - SGs'!$A$4:$E$24,2)),"",VLOOKUP(Y439,'4 - SGs'!$A$4:$E$24,2))</f>
        <v/>
      </c>
      <c r="AA439" s="149"/>
      <c r="AB439" s="149"/>
      <c r="AC439" s="149"/>
      <c r="AD439" s="149"/>
      <c r="AE439" s="153"/>
    </row>
    <row r="440" spans="11:31" s="150" customFormat="1" ht="12">
      <c r="K440" s="154"/>
      <c r="L440" s="154"/>
      <c r="M440" s="151"/>
      <c r="P440" s="152"/>
      <c r="Q440" s="157"/>
      <c r="R440" s="152"/>
      <c r="S440" s="157"/>
      <c r="T440" s="152"/>
      <c r="U440" s="157"/>
      <c r="V440" s="151"/>
      <c r="W440" s="151"/>
      <c r="X440" s="155" t="str">
        <f t="shared" si="7"/>
        <v/>
      </c>
      <c r="Y440" s="152"/>
      <c r="Z440" s="158" t="str">
        <f>IF(ISERROR(VLOOKUP(Y440,'4 - SGs'!$A$4:$E$24,2)),"",VLOOKUP(Y440,'4 - SGs'!$A$4:$E$24,2))</f>
        <v/>
      </c>
      <c r="AA440" s="149"/>
      <c r="AB440" s="149"/>
      <c r="AC440" s="149"/>
      <c r="AD440" s="149"/>
      <c r="AE440" s="153"/>
    </row>
    <row r="441" spans="11:31" s="150" customFormat="1" ht="12">
      <c r="K441" s="154"/>
      <c r="L441" s="154"/>
      <c r="M441" s="151"/>
      <c r="P441" s="152"/>
      <c r="Q441" s="157"/>
      <c r="R441" s="152"/>
      <c r="S441" s="157"/>
      <c r="T441" s="152"/>
      <c r="U441" s="157"/>
      <c r="V441" s="151"/>
      <c r="W441" s="151"/>
      <c r="X441" s="155" t="str">
        <f t="shared" si="7"/>
        <v/>
      </c>
      <c r="Y441" s="152"/>
      <c r="Z441" s="158" t="str">
        <f>IF(ISERROR(VLOOKUP(Y441,'4 - SGs'!$A$4:$E$24,2)),"",VLOOKUP(Y441,'4 - SGs'!$A$4:$E$24,2))</f>
        <v/>
      </c>
      <c r="AA441" s="149"/>
      <c r="AB441" s="149"/>
      <c r="AC441" s="149"/>
      <c r="AD441" s="149"/>
      <c r="AE441" s="153"/>
    </row>
    <row r="442" spans="11:31" s="150" customFormat="1" ht="12">
      <c r="K442" s="154"/>
      <c r="L442" s="154"/>
      <c r="M442" s="151"/>
      <c r="P442" s="152"/>
      <c r="Q442" s="157"/>
      <c r="R442" s="152"/>
      <c r="S442" s="157"/>
      <c r="T442" s="152"/>
      <c r="U442" s="157"/>
      <c r="V442" s="151"/>
      <c r="W442" s="151"/>
      <c r="X442" s="155" t="str">
        <f t="shared" si="7"/>
        <v/>
      </c>
      <c r="Y442" s="152"/>
      <c r="Z442" s="158" t="str">
        <f>IF(ISERROR(VLOOKUP(Y442,'4 - SGs'!$A$4:$E$24,2)),"",VLOOKUP(Y442,'4 - SGs'!$A$4:$E$24,2))</f>
        <v/>
      </c>
      <c r="AA442" s="149"/>
      <c r="AB442" s="149"/>
      <c r="AC442" s="149"/>
      <c r="AD442" s="149"/>
      <c r="AE442" s="153"/>
    </row>
    <row r="443" spans="11:31" s="150" customFormat="1" ht="12">
      <c r="K443" s="154"/>
      <c r="L443" s="154"/>
      <c r="M443" s="151"/>
      <c r="P443" s="152"/>
      <c r="Q443" s="157"/>
      <c r="R443" s="152"/>
      <c r="S443" s="157"/>
      <c r="T443" s="152"/>
      <c r="U443" s="157"/>
      <c r="V443" s="151"/>
      <c r="W443" s="151"/>
      <c r="X443" s="155" t="str">
        <f t="shared" si="7"/>
        <v/>
      </c>
      <c r="Y443" s="152"/>
      <c r="Z443" s="158" t="str">
        <f>IF(ISERROR(VLOOKUP(Y443,'4 - SGs'!$A$4:$E$24,2)),"",VLOOKUP(Y443,'4 - SGs'!$A$4:$E$24,2))</f>
        <v/>
      </c>
      <c r="AA443" s="149"/>
      <c r="AB443" s="149"/>
      <c r="AC443" s="149"/>
      <c r="AD443" s="149"/>
      <c r="AE443" s="153"/>
    </row>
    <row r="444" spans="11:31" s="150" customFormat="1" ht="12">
      <c r="K444" s="154"/>
      <c r="L444" s="154"/>
      <c r="M444" s="151"/>
      <c r="P444" s="152"/>
      <c r="Q444" s="157"/>
      <c r="R444" s="152"/>
      <c r="S444" s="157"/>
      <c r="T444" s="152"/>
      <c r="U444" s="157"/>
      <c r="V444" s="151"/>
      <c r="W444" s="151"/>
      <c r="X444" s="155" t="str">
        <f t="shared" si="7"/>
        <v/>
      </c>
      <c r="Y444" s="152"/>
      <c r="Z444" s="158" t="str">
        <f>IF(ISERROR(VLOOKUP(Y444,'4 - SGs'!$A$4:$E$24,2)),"",VLOOKUP(Y444,'4 - SGs'!$A$4:$E$24,2))</f>
        <v/>
      </c>
      <c r="AA444" s="149"/>
      <c r="AB444" s="149"/>
      <c r="AC444" s="149"/>
      <c r="AD444" s="149"/>
      <c r="AE444" s="153"/>
    </row>
    <row r="445" spans="11:31" s="150" customFormat="1" ht="12">
      <c r="K445" s="154"/>
      <c r="L445" s="154"/>
      <c r="M445" s="151"/>
      <c r="P445" s="152"/>
      <c r="Q445" s="157"/>
      <c r="R445" s="152"/>
      <c r="S445" s="157"/>
      <c r="T445" s="152"/>
      <c r="U445" s="157"/>
      <c r="V445" s="151"/>
      <c r="W445" s="151"/>
      <c r="X445" s="155" t="str">
        <f t="shared" si="7"/>
        <v/>
      </c>
      <c r="Y445" s="152"/>
      <c r="Z445" s="158" t="str">
        <f>IF(ISERROR(VLOOKUP(Y445,'4 - SGs'!$A$4:$E$24,2)),"",VLOOKUP(Y445,'4 - SGs'!$A$4:$E$24,2))</f>
        <v/>
      </c>
      <c r="AA445" s="149"/>
      <c r="AB445" s="149"/>
      <c r="AC445" s="149"/>
      <c r="AD445" s="149"/>
      <c r="AE445" s="153"/>
    </row>
    <row r="446" spans="11:31" s="150" customFormat="1" ht="12">
      <c r="K446" s="154"/>
      <c r="L446" s="154"/>
      <c r="M446" s="151"/>
      <c r="P446" s="152"/>
      <c r="Q446" s="157"/>
      <c r="R446" s="152"/>
      <c r="S446" s="157"/>
      <c r="T446" s="152"/>
      <c r="U446" s="157"/>
      <c r="V446" s="151"/>
      <c r="W446" s="151"/>
      <c r="X446" s="155" t="str">
        <f t="shared" si="7"/>
        <v/>
      </c>
      <c r="Y446" s="152"/>
      <c r="Z446" s="158" t="str">
        <f>IF(ISERROR(VLOOKUP(Y446,'4 - SGs'!$A$4:$E$24,2)),"",VLOOKUP(Y446,'4 - SGs'!$A$4:$E$24,2))</f>
        <v/>
      </c>
      <c r="AA446" s="149"/>
      <c r="AB446" s="149"/>
      <c r="AC446" s="149"/>
      <c r="AD446" s="149"/>
      <c r="AE446" s="153"/>
    </row>
    <row r="447" spans="11:31" s="150" customFormat="1" ht="12">
      <c r="K447" s="154"/>
      <c r="L447" s="154"/>
      <c r="M447" s="151"/>
      <c r="P447" s="152"/>
      <c r="Q447" s="157"/>
      <c r="R447" s="152"/>
      <c r="S447" s="157"/>
      <c r="T447" s="152"/>
      <c r="U447" s="157"/>
      <c r="V447" s="151"/>
      <c r="W447" s="151"/>
      <c r="X447" s="155" t="str">
        <f t="shared" si="7"/>
        <v/>
      </c>
      <c r="Y447" s="152"/>
      <c r="Z447" s="158" t="str">
        <f>IF(ISERROR(VLOOKUP(Y447,'4 - SGs'!$A$4:$E$24,2)),"",VLOOKUP(Y447,'4 - SGs'!$A$4:$E$24,2))</f>
        <v/>
      </c>
      <c r="AA447" s="149"/>
      <c r="AB447" s="149"/>
      <c r="AC447" s="149"/>
      <c r="AD447" s="149"/>
      <c r="AE447" s="153"/>
    </row>
    <row r="448" spans="11:31" s="150" customFormat="1" ht="12">
      <c r="K448" s="154"/>
      <c r="L448" s="154"/>
      <c r="M448" s="151"/>
      <c r="P448" s="152"/>
      <c r="Q448" s="157"/>
      <c r="R448" s="152"/>
      <c r="S448" s="157"/>
      <c r="T448" s="152"/>
      <c r="U448" s="157"/>
      <c r="V448" s="151"/>
      <c r="W448" s="151"/>
      <c r="X448" s="155" t="str">
        <f t="shared" si="7"/>
        <v/>
      </c>
      <c r="Y448" s="152"/>
      <c r="Z448" s="158" t="str">
        <f>IF(ISERROR(VLOOKUP(Y448,'4 - SGs'!$A$4:$E$24,2)),"",VLOOKUP(Y448,'4 - SGs'!$A$4:$E$24,2))</f>
        <v/>
      </c>
      <c r="AA448" s="149"/>
      <c r="AB448" s="149"/>
      <c r="AC448" s="149"/>
      <c r="AD448" s="149"/>
      <c r="AE448" s="153"/>
    </row>
    <row r="449" spans="11:31" s="150" customFormat="1" ht="12">
      <c r="K449" s="154"/>
      <c r="L449" s="154"/>
      <c r="M449" s="151"/>
      <c r="P449" s="152"/>
      <c r="Q449" s="157"/>
      <c r="R449" s="152"/>
      <c r="S449" s="157"/>
      <c r="T449" s="152"/>
      <c r="U449" s="157"/>
      <c r="V449" s="151"/>
      <c r="W449" s="151"/>
      <c r="X449" s="155" t="str">
        <f t="shared" ref="X449:X497" si="8">IF(AND(ISBLANK(S_Wert),ISBLANK(E_Wert),ISBLANK(C_Wert)),"",IF(OR(S_Wert="S0",C_Wert="C0"),"",IF(E_Wert="E0","QM",IF(AND(S_Wert="-",E_Wert="-",C_Wert="-"),"?",VLOOKUP(S_Wert&amp;E_Wert,ASIL_Tabelle,MATCH(C_Wert,Controllability,0)+1,FALSE)))))</f>
        <v/>
      </c>
      <c r="Y449" s="152"/>
      <c r="Z449" s="158" t="str">
        <f>IF(ISERROR(VLOOKUP(Y449,'4 - SGs'!$A$4:$E$24,2)),"",VLOOKUP(Y449,'4 - SGs'!$A$4:$E$24,2))</f>
        <v/>
      </c>
      <c r="AA449" s="149"/>
      <c r="AB449" s="149"/>
      <c r="AC449" s="149"/>
      <c r="AD449" s="149"/>
      <c r="AE449" s="153"/>
    </row>
    <row r="450" spans="11:31" s="150" customFormat="1" ht="12">
      <c r="K450" s="154"/>
      <c r="L450" s="154"/>
      <c r="M450" s="151"/>
      <c r="P450" s="152"/>
      <c r="Q450" s="157"/>
      <c r="R450" s="152"/>
      <c r="S450" s="157"/>
      <c r="T450" s="152"/>
      <c r="U450" s="157"/>
      <c r="V450" s="151"/>
      <c r="W450" s="151"/>
      <c r="X450" s="155" t="str">
        <f t="shared" si="8"/>
        <v/>
      </c>
      <c r="Y450" s="152"/>
      <c r="Z450" s="158" t="str">
        <f>IF(ISERROR(VLOOKUP(Y450,'4 - SGs'!$A$4:$E$24,2)),"",VLOOKUP(Y450,'4 - SGs'!$A$4:$E$24,2))</f>
        <v/>
      </c>
      <c r="AA450" s="149"/>
      <c r="AB450" s="149"/>
      <c r="AC450" s="149"/>
      <c r="AD450" s="149"/>
      <c r="AE450" s="153"/>
    </row>
    <row r="451" spans="11:31" s="150" customFormat="1" ht="12">
      <c r="K451" s="154"/>
      <c r="L451" s="154"/>
      <c r="M451" s="151"/>
      <c r="P451" s="152"/>
      <c r="Q451" s="157"/>
      <c r="R451" s="152"/>
      <c r="S451" s="157"/>
      <c r="T451" s="152"/>
      <c r="U451" s="157"/>
      <c r="V451" s="151"/>
      <c r="W451" s="151"/>
      <c r="X451" s="155" t="str">
        <f t="shared" si="8"/>
        <v/>
      </c>
      <c r="Y451" s="152"/>
      <c r="Z451" s="158" t="str">
        <f>IF(ISERROR(VLOOKUP(Y451,'4 - SGs'!$A$4:$E$24,2)),"",VLOOKUP(Y451,'4 - SGs'!$A$4:$E$24,2))</f>
        <v/>
      </c>
      <c r="AA451" s="149"/>
      <c r="AB451" s="149"/>
      <c r="AC451" s="149"/>
      <c r="AD451" s="149"/>
      <c r="AE451" s="153"/>
    </row>
    <row r="452" spans="11:31" s="150" customFormat="1" ht="12">
      <c r="K452" s="154"/>
      <c r="L452" s="154"/>
      <c r="M452" s="151"/>
      <c r="P452" s="152"/>
      <c r="Q452" s="157"/>
      <c r="R452" s="152"/>
      <c r="S452" s="157"/>
      <c r="T452" s="152"/>
      <c r="U452" s="157"/>
      <c r="V452" s="151"/>
      <c r="W452" s="151"/>
      <c r="X452" s="155" t="str">
        <f t="shared" si="8"/>
        <v/>
      </c>
      <c r="Y452" s="152"/>
      <c r="Z452" s="158" t="str">
        <f>IF(ISERROR(VLOOKUP(Y452,'4 - SGs'!$A$4:$E$24,2)),"",VLOOKUP(Y452,'4 - SGs'!$A$4:$E$24,2))</f>
        <v/>
      </c>
      <c r="AA452" s="149"/>
      <c r="AB452" s="149"/>
      <c r="AC452" s="149"/>
      <c r="AD452" s="149"/>
      <c r="AE452" s="153"/>
    </row>
    <row r="453" spans="11:31" s="150" customFormat="1" ht="12">
      <c r="K453" s="154"/>
      <c r="L453" s="154"/>
      <c r="M453" s="151"/>
      <c r="P453" s="152"/>
      <c r="Q453" s="157"/>
      <c r="R453" s="152"/>
      <c r="S453" s="157"/>
      <c r="T453" s="152"/>
      <c r="U453" s="157"/>
      <c r="V453" s="151"/>
      <c r="W453" s="151"/>
      <c r="X453" s="155" t="str">
        <f t="shared" si="8"/>
        <v/>
      </c>
      <c r="Y453" s="152"/>
      <c r="Z453" s="158" t="str">
        <f>IF(ISERROR(VLOOKUP(Y453,'4 - SGs'!$A$4:$E$24,2)),"",VLOOKUP(Y453,'4 - SGs'!$A$4:$E$24,2))</f>
        <v/>
      </c>
      <c r="AA453" s="149"/>
      <c r="AB453" s="149"/>
      <c r="AC453" s="149"/>
      <c r="AD453" s="149"/>
      <c r="AE453" s="153"/>
    </row>
    <row r="454" spans="11:31" s="150" customFormat="1" ht="12">
      <c r="K454" s="154"/>
      <c r="L454" s="154"/>
      <c r="M454" s="151"/>
      <c r="P454" s="152"/>
      <c r="Q454" s="157"/>
      <c r="R454" s="152"/>
      <c r="S454" s="157"/>
      <c r="T454" s="152"/>
      <c r="U454" s="157"/>
      <c r="V454" s="151"/>
      <c r="W454" s="151"/>
      <c r="X454" s="155" t="str">
        <f t="shared" si="8"/>
        <v/>
      </c>
      <c r="Y454" s="152"/>
      <c r="Z454" s="158" t="str">
        <f>IF(ISERROR(VLOOKUP(Y454,'4 - SGs'!$A$4:$E$24,2)),"",VLOOKUP(Y454,'4 - SGs'!$A$4:$E$24,2))</f>
        <v/>
      </c>
      <c r="AA454" s="149"/>
      <c r="AB454" s="149"/>
      <c r="AC454" s="149"/>
      <c r="AD454" s="149"/>
      <c r="AE454" s="153"/>
    </row>
    <row r="455" spans="11:31" s="150" customFormat="1" ht="12">
      <c r="K455" s="154"/>
      <c r="L455" s="154"/>
      <c r="M455" s="151"/>
      <c r="P455" s="152"/>
      <c r="Q455" s="157"/>
      <c r="R455" s="152"/>
      <c r="S455" s="157"/>
      <c r="T455" s="152"/>
      <c r="U455" s="157"/>
      <c r="V455" s="151"/>
      <c r="W455" s="151"/>
      <c r="X455" s="155" t="str">
        <f t="shared" si="8"/>
        <v/>
      </c>
      <c r="Y455" s="152"/>
      <c r="Z455" s="158" t="str">
        <f>IF(ISERROR(VLOOKUP(Y455,'4 - SGs'!$A$4:$E$24,2)),"",VLOOKUP(Y455,'4 - SGs'!$A$4:$E$24,2))</f>
        <v/>
      </c>
      <c r="AA455" s="149"/>
      <c r="AB455" s="149"/>
      <c r="AC455" s="149"/>
      <c r="AD455" s="149"/>
      <c r="AE455" s="153"/>
    </row>
    <row r="456" spans="11:31" s="150" customFormat="1" ht="12">
      <c r="K456" s="154"/>
      <c r="L456" s="154"/>
      <c r="M456" s="151"/>
      <c r="P456" s="152"/>
      <c r="Q456" s="157"/>
      <c r="R456" s="152"/>
      <c r="S456" s="157"/>
      <c r="T456" s="152"/>
      <c r="U456" s="157"/>
      <c r="V456" s="151"/>
      <c r="W456" s="151"/>
      <c r="X456" s="155" t="str">
        <f t="shared" si="8"/>
        <v/>
      </c>
      <c r="Y456" s="152"/>
      <c r="Z456" s="158" t="str">
        <f>IF(ISERROR(VLOOKUP(Y456,'4 - SGs'!$A$4:$E$24,2)),"",VLOOKUP(Y456,'4 - SGs'!$A$4:$E$24,2))</f>
        <v/>
      </c>
      <c r="AA456" s="149"/>
      <c r="AB456" s="149"/>
      <c r="AC456" s="149"/>
      <c r="AD456" s="149"/>
      <c r="AE456" s="153"/>
    </row>
    <row r="457" spans="11:31" s="150" customFormat="1" ht="12">
      <c r="K457" s="154"/>
      <c r="L457" s="154"/>
      <c r="M457" s="151"/>
      <c r="P457" s="152"/>
      <c r="Q457" s="157"/>
      <c r="R457" s="152"/>
      <c r="S457" s="157"/>
      <c r="T457" s="152"/>
      <c r="U457" s="157"/>
      <c r="V457" s="151"/>
      <c r="W457" s="151"/>
      <c r="X457" s="155" t="str">
        <f t="shared" si="8"/>
        <v/>
      </c>
      <c r="Y457" s="152"/>
      <c r="Z457" s="158" t="str">
        <f>IF(ISERROR(VLOOKUP(Y457,'4 - SGs'!$A$4:$E$24,2)),"",VLOOKUP(Y457,'4 - SGs'!$A$4:$E$24,2))</f>
        <v/>
      </c>
      <c r="AA457" s="149"/>
      <c r="AB457" s="149"/>
      <c r="AC457" s="149"/>
      <c r="AD457" s="149"/>
      <c r="AE457" s="153"/>
    </row>
    <row r="458" spans="11:31" s="150" customFormat="1" ht="12">
      <c r="K458" s="154"/>
      <c r="L458" s="154"/>
      <c r="M458" s="151"/>
      <c r="P458" s="152"/>
      <c r="Q458" s="157"/>
      <c r="R458" s="152"/>
      <c r="S458" s="157"/>
      <c r="T458" s="152"/>
      <c r="U458" s="157"/>
      <c r="V458" s="151"/>
      <c r="W458" s="151"/>
      <c r="X458" s="155" t="str">
        <f t="shared" si="8"/>
        <v/>
      </c>
      <c r="Y458" s="152"/>
      <c r="Z458" s="158" t="str">
        <f>IF(ISERROR(VLOOKUP(Y458,'4 - SGs'!$A$4:$E$24,2)),"",VLOOKUP(Y458,'4 - SGs'!$A$4:$E$24,2))</f>
        <v/>
      </c>
      <c r="AA458" s="149"/>
      <c r="AB458" s="149"/>
      <c r="AC458" s="149"/>
      <c r="AD458" s="149"/>
      <c r="AE458" s="153"/>
    </row>
    <row r="459" spans="11:31" s="150" customFormat="1" ht="12">
      <c r="K459" s="154"/>
      <c r="L459" s="154"/>
      <c r="M459" s="151"/>
      <c r="P459" s="152"/>
      <c r="Q459" s="157"/>
      <c r="R459" s="152"/>
      <c r="S459" s="157"/>
      <c r="T459" s="152"/>
      <c r="U459" s="157"/>
      <c r="V459" s="151"/>
      <c r="W459" s="151"/>
      <c r="X459" s="155" t="str">
        <f t="shared" si="8"/>
        <v/>
      </c>
      <c r="Y459" s="152"/>
      <c r="Z459" s="158" t="str">
        <f>IF(ISERROR(VLOOKUP(Y459,'4 - SGs'!$A$4:$E$24,2)),"",VLOOKUP(Y459,'4 - SGs'!$A$4:$E$24,2))</f>
        <v/>
      </c>
      <c r="AA459" s="149"/>
      <c r="AB459" s="149"/>
      <c r="AC459" s="149"/>
      <c r="AD459" s="149"/>
      <c r="AE459" s="153"/>
    </row>
    <row r="460" spans="11:31" s="150" customFormat="1" ht="12">
      <c r="K460" s="154"/>
      <c r="L460" s="154"/>
      <c r="M460" s="151"/>
      <c r="P460" s="152"/>
      <c r="Q460" s="157"/>
      <c r="R460" s="152"/>
      <c r="S460" s="157"/>
      <c r="T460" s="152"/>
      <c r="U460" s="157"/>
      <c r="V460" s="151"/>
      <c r="W460" s="151"/>
      <c r="X460" s="155" t="str">
        <f t="shared" si="8"/>
        <v/>
      </c>
      <c r="Y460" s="152"/>
      <c r="Z460" s="158" t="str">
        <f>IF(ISERROR(VLOOKUP(Y460,'4 - SGs'!$A$4:$E$24,2)),"",VLOOKUP(Y460,'4 - SGs'!$A$4:$E$24,2))</f>
        <v/>
      </c>
      <c r="AA460" s="149"/>
      <c r="AB460" s="149"/>
      <c r="AC460" s="149"/>
      <c r="AD460" s="149"/>
      <c r="AE460" s="153"/>
    </row>
    <row r="461" spans="11:31" s="150" customFormat="1" ht="12">
      <c r="K461" s="154"/>
      <c r="L461" s="154"/>
      <c r="M461" s="151"/>
      <c r="P461" s="152"/>
      <c r="Q461" s="157"/>
      <c r="R461" s="152"/>
      <c r="S461" s="157"/>
      <c r="T461" s="152"/>
      <c r="U461" s="157"/>
      <c r="V461" s="151"/>
      <c r="W461" s="151"/>
      <c r="X461" s="155" t="str">
        <f t="shared" si="8"/>
        <v/>
      </c>
      <c r="Y461" s="152"/>
      <c r="Z461" s="158" t="str">
        <f>IF(ISERROR(VLOOKUP(Y461,'4 - SGs'!$A$4:$E$24,2)),"",VLOOKUP(Y461,'4 - SGs'!$A$4:$E$24,2))</f>
        <v/>
      </c>
      <c r="AA461" s="149"/>
      <c r="AB461" s="149"/>
      <c r="AC461" s="149"/>
      <c r="AD461" s="149"/>
      <c r="AE461" s="153"/>
    </row>
    <row r="462" spans="11:31" s="150" customFormat="1" ht="12">
      <c r="K462" s="154"/>
      <c r="L462" s="154"/>
      <c r="M462" s="151"/>
      <c r="P462" s="152"/>
      <c r="Q462" s="157"/>
      <c r="R462" s="152"/>
      <c r="S462" s="157"/>
      <c r="T462" s="152"/>
      <c r="U462" s="157"/>
      <c r="V462" s="151"/>
      <c r="W462" s="151"/>
      <c r="X462" s="155" t="str">
        <f t="shared" si="8"/>
        <v/>
      </c>
      <c r="Y462" s="152"/>
      <c r="Z462" s="158" t="str">
        <f>IF(ISERROR(VLOOKUP(Y462,'4 - SGs'!$A$4:$E$24,2)),"",VLOOKUP(Y462,'4 - SGs'!$A$4:$E$24,2))</f>
        <v/>
      </c>
      <c r="AA462" s="149"/>
      <c r="AB462" s="149"/>
      <c r="AC462" s="149"/>
      <c r="AD462" s="149"/>
      <c r="AE462" s="153"/>
    </row>
    <row r="463" spans="11:31" s="150" customFormat="1" ht="12">
      <c r="K463" s="154"/>
      <c r="L463" s="154"/>
      <c r="M463" s="151"/>
      <c r="P463" s="152"/>
      <c r="Q463" s="157"/>
      <c r="R463" s="152"/>
      <c r="S463" s="157"/>
      <c r="T463" s="152"/>
      <c r="U463" s="157"/>
      <c r="V463" s="151"/>
      <c r="W463" s="151"/>
      <c r="X463" s="155" t="str">
        <f t="shared" si="8"/>
        <v/>
      </c>
      <c r="Y463" s="152"/>
      <c r="Z463" s="158" t="str">
        <f>IF(ISERROR(VLOOKUP(Y463,'4 - SGs'!$A$4:$E$24,2)),"",VLOOKUP(Y463,'4 - SGs'!$A$4:$E$24,2))</f>
        <v/>
      </c>
      <c r="AA463" s="149"/>
      <c r="AB463" s="149"/>
      <c r="AC463" s="149"/>
      <c r="AD463" s="149"/>
      <c r="AE463" s="153"/>
    </row>
    <row r="464" spans="11:31" s="150" customFormat="1" ht="12">
      <c r="K464" s="154"/>
      <c r="L464" s="154"/>
      <c r="M464" s="151"/>
      <c r="P464" s="152"/>
      <c r="Q464" s="157"/>
      <c r="R464" s="152"/>
      <c r="S464" s="157"/>
      <c r="T464" s="152"/>
      <c r="U464" s="157"/>
      <c r="V464" s="151"/>
      <c r="W464" s="151"/>
      <c r="X464" s="155" t="str">
        <f t="shared" si="8"/>
        <v/>
      </c>
      <c r="Y464" s="152"/>
      <c r="Z464" s="158" t="str">
        <f>IF(ISERROR(VLOOKUP(Y464,'4 - SGs'!$A$4:$E$24,2)),"",VLOOKUP(Y464,'4 - SGs'!$A$4:$E$24,2))</f>
        <v/>
      </c>
      <c r="AA464" s="149"/>
      <c r="AB464" s="149"/>
      <c r="AC464" s="149"/>
      <c r="AD464" s="149"/>
      <c r="AE464" s="153"/>
    </row>
    <row r="465" spans="11:31" s="150" customFormat="1" ht="12">
      <c r="K465" s="154"/>
      <c r="L465" s="154"/>
      <c r="M465" s="151"/>
      <c r="P465" s="152"/>
      <c r="Q465" s="157"/>
      <c r="R465" s="152"/>
      <c r="S465" s="157"/>
      <c r="T465" s="152"/>
      <c r="U465" s="157"/>
      <c r="V465" s="151"/>
      <c r="W465" s="151"/>
      <c r="X465" s="155" t="str">
        <f t="shared" si="8"/>
        <v/>
      </c>
      <c r="Y465" s="152"/>
      <c r="Z465" s="158" t="str">
        <f>IF(ISERROR(VLOOKUP(Y465,'4 - SGs'!$A$4:$E$24,2)),"",VLOOKUP(Y465,'4 - SGs'!$A$4:$E$24,2))</f>
        <v/>
      </c>
      <c r="AA465" s="149"/>
      <c r="AB465" s="149"/>
      <c r="AC465" s="149"/>
      <c r="AD465" s="149"/>
      <c r="AE465" s="153"/>
    </row>
    <row r="466" spans="11:31" s="150" customFormat="1" ht="12">
      <c r="K466" s="154"/>
      <c r="L466" s="154"/>
      <c r="M466" s="151"/>
      <c r="P466" s="152"/>
      <c r="Q466" s="157"/>
      <c r="R466" s="152"/>
      <c r="S466" s="157"/>
      <c r="T466" s="152"/>
      <c r="U466" s="157"/>
      <c r="V466" s="151"/>
      <c r="W466" s="151"/>
      <c r="X466" s="155" t="str">
        <f t="shared" si="8"/>
        <v/>
      </c>
      <c r="Y466" s="152"/>
      <c r="Z466" s="158" t="str">
        <f>IF(ISERROR(VLOOKUP(Y466,'4 - SGs'!$A$4:$E$24,2)),"",VLOOKUP(Y466,'4 - SGs'!$A$4:$E$24,2))</f>
        <v/>
      </c>
      <c r="AA466" s="149"/>
      <c r="AB466" s="149"/>
      <c r="AC466" s="149"/>
      <c r="AD466" s="149"/>
      <c r="AE466" s="153"/>
    </row>
    <row r="467" spans="11:31" s="150" customFormat="1" ht="12">
      <c r="K467" s="154"/>
      <c r="L467" s="154"/>
      <c r="M467" s="151"/>
      <c r="P467" s="152"/>
      <c r="Q467" s="157"/>
      <c r="R467" s="152"/>
      <c r="S467" s="157"/>
      <c r="T467" s="152"/>
      <c r="U467" s="157"/>
      <c r="V467" s="151"/>
      <c r="W467" s="151"/>
      <c r="X467" s="155" t="str">
        <f t="shared" si="8"/>
        <v/>
      </c>
      <c r="Y467" s="152"/>
      <c r="Z467" s="158" t="str">
        <f>IF(ISERROR(VLOOKUP(Y467,'4 - SGs'!$A$4:$E$24,2)),"",VLOOKUP(Y467,'4 - SGs'!$A$4:$E$24,2))</f>
        <v/>
      </c>
      <c r="AA467" s="149"/>
      <c r="AB467" s="149"/>
      <c r="AC467" s="149"/>
      <c r="AD467" s="149"/>
      <c r="AE467" s="153"/>
    </row>
    <row r="468" spans="11:31" s="150" customFormat="1" ht="12">
      <c r="K468" s="154"/>
      <c r="L468" s="154"/>
      <c r="M468" s="151"/>
      <c r="P468" s="152"/>
      <c r="Q468" s="157"/>
      <c r="R468" s="152"/>
      <c r="S468" s="157"/>
      <c r="T468" s="152"/>
      <c r="U468" s="157"/>
      <c r="V468" s="151"/>
      <c r="W468" s="151"/>
      <c r="X468" s="155" t="str">
        <f t="shared" si="8"/>
        <v/>
      </c>
      <c r="Y468" s="152"/>
      <c r="Z468" s="158" t="str">
        <f>IF(ISERROR(VLOOKUP(Y468,'4 - SGs'!$A$4:$E$24,2)),"",VLOOKUP(Y468,'4 - SGs'!$A$4:$E$24,2))</f>
        <v/>
      </c>
      <c r="AA468" s="149"/>
      <c r="AB468" s="149"/>
      <c r="AC468" s="149"/>
      <c r="AD468" s="149"/>
      <c r="AE468" s="153"/>
    </row>
    <row r="469" spans="11:31" s="150" customFormat="1" ht="12">
      <c r="K469" s="154"/>
      <c r="L469" s="154"/>
      <c r="M469" s="151"/>
      <c r="P469" s="152"/>
      <c r="Q469" s="157"/>
      <c r="R469" s="152"/>
      <c r="S469" s="157"/>
      <c r="T469" s="152"/>
      <c r="U469" s="157"/>
      <c r="V469" s="151"/>
      <c r="W469" s="151"/>
      <c r="X469" s="155" t="str">
        <f t="shared" si="8"/>
        <v/>
      </c>
      <c r="Y469" s="152"/>
      <c r="Z469" s="158" t="str">
        <f>IF(ISERROR(VLOOKUP(Y469,'4 - SGs'!$A$4:$E$24,2)),"",VLOOKUP(Y469,'4 - SGs'!$A$4:$E$24,2))</f>
        <v/>
      </c>
      <c r="AA469" s="149"/>
      <c r="AB469" s="149"/>
      <c r="AC469" s="149"/>
      <c r="AD469" s="149"/>
      <c r="AE469" s="153"/>
    </row>
    <row r="470" spans="11:31" s="150" customFormat="1" ht="12">
      <c r="K470" s="154"/>
      <c r="L470" s="154"/>
      <c r="M470" s="151"/>
      <c r="P470" s="152"/>
      <c r="Q470" s="157"/>
      <c r="R470" s="152"/>
      <c r="S470" s="157"/>
      <c r="T470" s="152"/>
      <c r="U470" s="157"/>
      <c r="V470" s="151"/>
      <c r="W470" s="151"/>
      <c r="X470" s="155" t="str">
        <f t="shared" si="8"/>
        <v/>
      </c>
      <c r="Y470" s="152"/>
      <c r="Z470" s="158" t="str">
        <f>IF(ISERROR(VLOOKUP(Y470,'4 - SGs'!$A$4:$E$24,2)),"",VLOOKUP(Y470,'4 - SGs'!$A$4:$E$24,2))</f>
        <v/>
      </c>
      <c r="AA470" s="149"/>
      <c r="AB470" s="149"/>
      <c r="AC470" s="149"/>
      <c r="AD470" s="149"/>
      <c r="AE470" s="153"/>
    </row>
    <row r="471" spans="11:31" s="150" customFormat="1" ht="12">
      <c r="K471" s="154"/>
      <c r="L471" s="154"/>
      <c r="M471" s="151"/>
      <c r="P471" s="152"/>
      <c r="Q471" s="157"/>
      <c r="R471" s="152"/>
      <c r="S471" s="157"/>
      <c r="T471" s="152"/>
      <c r="U471" s="157"/>
      <c r="V471" s="151"/>
      <c r="W471" s="151"/>
      <c r="X471" s="155" t="str">
        <f t="shared" si="8"/>
        <v/>
      </c>
      <c r="Y471" s="152"/>
      <c r="Z471" s="158" t="str">
        <f>IF(ISERROR(VLOOKUP(Y471,'4 - SGs'!$A$4:$E$24,2)),"",VLOOKUP(Y471,'4 - SGs'!$A$4:$E$24,2))</f>
        <v/>
      </c>
      <c r="AA471" s="149"/>
      <c r="AB471" s="149"/>
      <c r="AC471" s="149"/>
      <c r="AD471" s="149"/>
      <c r="AE471" s="153"/>
    </row>
    <row r="472" spans="11:31" s="150" customFormat="1" ht="12">
      <c r="K472" s="154"/>
      <c r="L472" s="154"/>
      <c r="M472" s="151"/>
      <c r="P472" s="152"/>
      <c r="Q472" s="157"/>
      <c r="R472" s="152"/>
      <c r="S472" s="157"/>
      <c r="T472" s="152"/>
      <c r="U472" s="157"/>
      <c r="V472" s="151"/>
      <c r="W472" s="151"/>
      <c r="X472" s="155" t="str">
        <f t="shared" si="8"/>
        <v/>
      </c>
      <c r="Y472" s="152"/>
      <c r="Z472" s="158" t="str">
        <f>IF(ISERROR(VLOOKUP(Y472,'4 - SGs'!$A$4:$E$24,2)),"",VLOOKUP(Y472,'4 - SGs'!$A$4:$E$24,2))</f>
        <v/>
      </c>
      <c r="AA472" s="149"/>
      <c r="AB472" s="149"/>
      <c r="AC472" s="149"/>
      <c r="AD472" s="149"/>
      <c r="AE472" s="153"/>
    </row>
    <row r="473" spans="11:31" s="150" customFormat="1" ht="12">
      <c r="K473" s="154"/>
      <c r="L473" s="154"/>
      <c r="M473" s="151"/>
      <c r="P473" s="152"/>
      <c r="Q473" s="157"/>
      <c r="R473" s="152"/>
      <c r="S473" s="157"/>
      <c r="T473" s="152"/>
      <c r="U473" s="157"/>
      <c r="V473" s="151"/>
      <c r="W473" s="151"/>
      <c r="X473" s="155" t="str">
        <f t="shared" si="8"/>
        <v/>
      </c>
      <c r="Y473" s="152"/>
      <c r="Z473" s="158" t="str">
        <f>IF(ISERROR(VLOOKUP(Y473,'4 - SGs'!$A$4:$E$24,2)),"",VLOOKUP(Y473,'4 - SGs'!$A$4:$E$24,2))</f>
        <v/>
      </c>
      <c r="AA473" s="149"/>
      <c r="AB473" s="149"/>
      <c r="AC473" s="149"/>
      <c r="AD473" s="149"/>
      <c r="AE473" s="153"/>
    </row>
    <row r="474" spans="11:31" s="150" customFormat="1" ht="12">
      <c r="K474" s="154"/>
      <c r="L474" s="154"/>
      <c r="M474" s="151"/>
      <c r="P474" s="152"/>
      <c r="Q474" s="157"/>
      <c r="R474" s="152"/>
      <c r="S474" s="157"/>
      <c r="T474" s="152"/>
      <c r="U474" s="157"/>
      <c r="V474" s="151"/>
      <c r="W474" s="151"/>
      <c r="X474" s="155" t="str">
        <f t="shared" si="8"/>
        <v/>
      </c>
      <c r="Y474" s="152"/>
      <c r="Z474" s="158" t="str">
        <f>IF(ISERROR(VLOOKUP(Y474,'4 - SGs'!$A$4:$E$24,2)),"",VLOOKUP(Y474,'4 - SGs'!$A$4:$E$24,2))</f>
        <v/>
      </c>
      <c r="AA474" s="149"/>
      <c r="AB474" s="149"/>
      <c r="AC474" s="149"/>
      <c r="AD474" s="149"/>
      <c r="AE474" s="153"/>
    </row>
    <row r="475" spans="11:31" s="150" customFormat="1" ht="12">
      <c r="K475" s="154"/>
      <c r="L475" s="154"/>
      <c r="M475" s="151"/>
      <c r="P475" s="152"/>
      <c r="Q475" s="157"/>
      <c r="R475" s="152"/>
      <c r="S475" s="157"/>
      <c r="T475" s="152"/>
      <c r="U475" s="157"/>
      <c r="V475" s="151"/>
      <c r="W475" s="151"/>
      <c r="X475" s="155" t="str">
        <f t="shared" si="8"/>
        <v/>
      </c>
      <c r="Y475" s="152"/>
      <c r="Z475" s="158" t="str">
        <f>IF(ISERROR(VLOOKUP(Y475,'4 - SGs'!$A$4:$E$24,2)),"",VLOOKUP(Y475,'4 - SGs'!$A$4:$E$24,2))</f>
        <v/>
      </c>
      <c r="AA475" s="149"/>
      <c r="AB475" s="149"/>
      <c r="AC475" s="149"/>
      <c r="AD475" s="149"/>
      <c r="AE475" s="153"/>
    </row>
    <row r="476" spans="11:31" s="150" customFormat="1" ht="12">
      <c r="K476" s="154"/>
      <c r="L476" s="154"/>
      <c r="M476" s="151"/>
      <c r="P476" s="152"/>
      <c r="Q476" s="157"/>
      <c r="R476" s="152"/>
      <c r="S476" s="157"/>
      <c r="T476" s="152"/>
      <c r="U476" s="157"/>
      <c r="V476" s="151"/>
      <c r="W476" s="151"/>
      <c r="X476" s="155" t="str">
        <f t="shared" si="8"/>
        <v/>
      </c>
      <c r="Y476" s="152"/>
      <c r="Z476" s="158" t="str">
        <f>IF(ISERROR(VLOOKUP(Y476,'4 - SGs'!$A$4:$E$24,2)),"",VLOOKUP(Y476,'4 - SGs'!$A$4:$E$24,2))</f>
        <v/>
      </c>
      <c r="AA476" s="149"/>
      <c r="AB476" s="149"/>
      <c r="AC476" s="149"/>
      <c r="AD476" s="149"/>
      <c r="AE476" s="153"/>
    </row>
    <row r="477" spans="11:31" s="150" customFormat="1" ht="12">
      <c r="K477" s="154"/>
      <c r="L477" s="154"/>
      <c r="M477" s="151"/>
      <c r="P477" s="152"/>
      <c r="Q477" s="157"/>
      <c r="R477" s="152"/>
      <c r="S477" s="157"/>
      <c r="T477" s="152"/>
      <c r="U477" s="157"/>
      <c r="V477" s="151"/>
      <c r="W477" s="151"/>
      <c r="X477" s="155" t="str">
        <f t="shared" si="8"/>
        <v/>
      </c>
      <c r="Y477" s="152"/>
      <c r="Z477" s="158" t="str">
        <f>IF(ISERROR(VLOOKUP(Y477,'4 - SGs'!$A$4:$E$24,2)),"",VLOOKUP(Y477,'4 - SGs'!$A$4:$E$24,2))</f>
        <v/>
      </c>
      <c r="AA477" s="149"/>
      <c r="AB477" s="149"/>
      <c r="AC477" s="149"/>
      <c r="AD477" s="149"/>
      <c r="AE477" s="153"/>
    </row>
    <row r="478" spans="11:31" s="150" customFormat="1" ht="12">
      <c r="K478" s="154"/>
      <c r="L478" s="154"/>
      <c r="M478" s="151"/>
      <c r="P478" s="152"/>
      <c r="Q478" s="157"/>
      <c r="R478" s="152"/>
      <c r="S478" s="157"/>
      <c r="T478" s="152"/>
      <c r="U478" s="157"/>
      <c r="V478" s="151"/>
      <c r="W478" s="151"/>
      <c r="X478" s="155" t="str">
        <f t="shared" si="8"/>
        <v/>
      </c>
      <c r="Y478" s="152"/>
      <c r="Z478" s="158" t="str">
        <f>IF(ISERROR(VLOOKUP(Y478,'4 - SGs'!$A$4:$E$24,2)),"",VLOOKUP(Y478,'4 - SGs'!$A$4:$E$24,2))</f>
        <v/>
      </c>
      <c r="AA478" s="149"/>
      <c r="AB478" s="149"/>
      <c r="AC478" s="149"/>
      <c r="AD478" s="149"/>
      <c r="AE478" s="153"/>
    </row>
    <row r="479" spans="11:31" s="150" customFormat="1" ht="12">
      <c r="K479" s="154"/>
      <c r="L479" s="154"/>
      <c r="M479" s="151"/>
      <c r="P479" s="152"/>
      <c r="Q479" s="157"/>
      <c r="R479" s="152"/>
      <c r="S479" s="157"/>
      <c r="T479" s="152"/>
      <c r="U479" s="157"/>
      <c r="V479" s="151"/>
      <c r="W479" s="151"/>
      <c r="X479" s="155" t="str">
        <f t="shared" si="8"/>
        <v/>
      </c>
      <c r="Y479" s="152"/>
      <c r="Z479" s="158" t="str">
        <f>IF(ISERROR(VLOOKUP(Y479,'4 - SGs'!$A$4:$E$24,2)),"",VLOOKUP(Y479,'4 - SGs'!$A$4:$E$24,2))</f>
        <v/>
      </c>
      <c r="AA479" s="149"/>
      <c r="AB479" s="149"/>
      <c r="AC479" s="149"/>
      <c r="AD479" s="149"/>
      <c r="AE479" s="153"/>
    </row>
    <row r="480" spans="11:31" s="150" customFormat="1" ht="12">
      <c r="K480" s="154"/>
      <c r="L480" s="154"/>
      <c r="M480" s="151"/>
      <c r="P480" s="152"/>
      <c r="Q480" s="157"/>
      <c r="R480" s="152"/>
      <c r="S480" s="157"/>
      <c r="T480" s="152"/>
      <c r="U480" s="157"/>
      <c r="V480" s="151"/>
      <c r="W480" s="151"/>
      <c r="X480" s="155" t="str">
        <f t="shared" si="8"/>
        <v/>
      </c>
      <c r="Y480" s="152"/>
      <c r="Z480" s="158" t="str">
        <f>IF(ISERROR(VLOOKUP(Y480,'4 - SGs'!$A$4:$E$24,2)),"",VLOOKUP(Y480,'4 - SGs'!$A$4:$E$24,2))</f>
        <v/>
      </c>
      <c r="AA480" s="149"/>
      <c r="AB480" s="149"/>
      <c r="AC480" s="149"/>
      <c r="AD480" s="149"/>
      <c r="AE480" s="153"/>
    </row>
    <row r="481" spans="11:31" s="150" customFormat="1" ht="12">
      <c r="K481" s="154"/>
      <c r="L481" s="154"/>
      <c r="M481" s="151"/>
      <c r="P481" s="152"/>
      <c r="Q481" s="157"/>
      <c r="R481" s="152"/>
      <c r="S481" s="157"/>
      <c r="T481" s="152"/>
      <c r="U481" s="157"/>
      <c r="V481" s="151"/>
      <c r="W481" s="151"/>
      <c r="X481" s="155" t="str">
        <f t="shared" si="8"/>
        <v/>
      </c>
      <c r="Y481" s="152"/>
      <c r="Z481" s="158" t="str">
        <f>IF(ISERROR(VLOOKUP(Y481,'4 - SGs'!$A$4:$E$24,2)),"",VLOOKUP(Y481,'4 - SGs'!$A$4:$E$24,2))</f>
        <v/>
      </c>
      <c r="AA481" s="149"/>
      <c r="AB481" s="149"/>
      <c r="AC481" s="149"/>
      <c r="AD481" s="149"/>
      <c r="AE481" s="153"/>
    </row>
    <row r="482" spans="11:31" s="150" customFormat="1" ht="12">
      <c r="K482" s="154"/>
      <c r="L482" s="154"/>
      <c r="M482" s="151"/>
      <c r="P482" s="152"/>
      <c r="Q482" s="157"/>
      <c r="R482" s="152"/>
      <c r="S482" s="157"/>
      <c r="T482" s="152"/>
      <c r="U482" s="157"/>
      <c r="V482" s="151"/>
      <c r="W482" s="151"/>
      <c r="X482" s="155" t="str">
        <f t="shared" si="8"/>
        <v/>
      </c>
      <c r="Y482" s="152"/>
      <c r="Z482" s="158" t="str">
        <f>IF(ISERROR(VLOOKUP(Y482,'4 - SGs'!$A$4:$E$24,2)),"",VLOOKUP(Y482,'4 - SGs'!$A$4:$E$24,2))</f>
        <v/>
      </c>
      <c r="AA482" s="149"/>
      <c r="AB482" s="149"/>
      <c r="AC482" s="149"/>
      <c r="AD482" s="149"/>
      <c r="AE482" s="153"/>
    </row>
    <row r="483" spans="11:31" s="150" customFormat="1" ht="12">
      <c r="K483" s="154"/>
      <c r="L483" s="154"/>
      <c r="M483" s="151"/>
      <c r="P483" s="152"/>
      <c r="Q483" s="157"/>
      <c r="R483" s="152"/>
      <c r="S483" s="157"/>
      <c r="T483" s="152"/>
      <c r="U483" s="157"/>
      <c r="V483" s="151"/>
      <c r="W483" s="151"/>
      <c r="X483" s="155" t="str">
        <f t="shared" si="8"/>
        <v/>
      </c>
      <c r="Y483" s="152"/>
      <c r="Z483" s="158" t="str">
        <f>IF(ISERROR(VLOOKUP(Y483,'4 - SGs'!$A$4:$E$24,2)),"",VLOOKUP(Y483,'4 - SGs'!$A$4:$E$24,2))</f>
        <v/>
      </c>
      <c r="AA483" s="149"/>
      <c r="AB483" s="149"/>
      <c r="AC483" s="149"/>
      <c r="AD483" s="149"/>
      <c r="AE483" s="153"/>
    </row>
    <row r="484" spans="11:31" s="150" customFormat="1" ht="12">
      <c r="K484" s="154"/>
      <c r="L484" s="154"/>
      <c r="M484" s="151"/>
      <c r="P484" s="152"/>
      <c r="Q484" s="157"/>
      <c r="R484" s="152"/>
      <c r="S484" s="157"/>
      <c r="T484" s="152"/>
      <c r="U484" s="157"/>
      <c r="V484" s="151"/>
      <c r="W484" s="151"/>
      <c r="X484" s="155" t="str">
        <f t="shared" si="8"/>
        <v/>
      </c>
      <c r="Y484" s="152"/>
      <c r="Z484" s="158" t="str">
        <f>IF(ISERROR(VLOOKUP(Y484,'4 - SGs'!$A$4:$E$24,2)),"",VLOOKUP(Y484,'4 - SGs'!$A$4:$E$24,2))</f>
        <v/>
      </c>
      <c r="AA484" s="149"/>
      <c r="AB484" s="149"/>
      <c r="AC484" s="149"/>
      <c r="AD484" s="149"/>
      <c r="AE484" s="153"/>
    </row>
    <row r="485" spans="11:31" s="150" customFormat="1" ht="12">
      <c r="K485" s="154"/>
      <c r="L485" s="154"/>
      <c r="M485" s="151"/>
      <c r="P485" s="152"/>
      <c r="Q485" s="157"/>
      <c r="R485" s="152"/>
      <c r="S485" s="157"/>
      <c r="T485" s="152"/>
      <c r="U485" s="157"/>
      <c r="V485" s="151"/>
      <c r="W485" s="151"/>
      <c r="X485" s="155" t="str">
        <f t="shared" si="8"/>
        <v/>
      </c>
      <c r="Y485" s="152"/>
      <c r="Z485" s="158" t="str">
        <f>IF(ISERROR(VLOOKUP(Y485,'4 - SGs'!$A$4:$E$24,2)),"",VLOOKUP(Y485,'4 - SGs'!$A$4:$E$24,2))</f>
        <v/>
      </c>
      <c r="AA485" s="149"/>
      <c r="AB485" s="149"/>
      <c r="AC485" s="149"/>
      <c r="AD485" s="149"/>
      <c r="AE485" s="153"/>
    </row>
    <row r="486" spans="11:31" s="150" customFormat="1" ht="12">
      <c r="K486" s="154"/>
      <c r="L486" s="154"/>
      <c r="M486" s="151"/>
      <c r="P486" s="152"/>
      <c r="Q486" s="157"/>
      <c r="R486" s="152"/>
      <c r="S486" s="157"/>
      <c r="T486" s="152"/>
      <c r="U486" s="157"/>
      <c r="V486" s="151"/>
      <c r="W486" s="151"/>
      <c r="X486" s="155" t="str">
        <f t="shared" si="8"/>
        <v/>
      </c>
      <c r="Y486" s="152"/>
      <c r="Z486" s="158" t="str">
        <f>IF(ISERROR(VLOOKUP(Y486,'4 - SGs'!$A$4:$E$24,2)),"",VLOOKUP(Y486,'4 - SGs'!$A$4:$E$24,2))</f>
        <v/>
      </c>
      <c r="AA486" s="149"/>
      <c r="AB486" s="149"/>
      <c r="AC486" s="149"/>
      <c r="AD486" s="149"/>
      <c r="AE486" s="153"/>
    </row>
    <row r="487" spans="11:31" s="150" customFormat="1" ht="12">
      <c r="K487" s="154"/>
      <c r="L487" s="154"/>
      <c r="M487" s="151"/>
      <c r="P487" s="152"/>
      <c r="Q487" s="157"/>
      <c r="R487" s="152"/>
      <c r="S487" s="157"/>
      <c r="T487" s="152"/>
      <c r="U487" s="157"/>
      <c r="V487" s="151"/>
      <c r="W487" s="151"/>
      <c r="X487" s="155" t="str">
        <f t="shared" si="8"/>
        <v/>
      </c>
      <c r="Y487" s="152"/>
      <c r="Z487" s="158" t="str">
        <f>IF(ISERROR(VLOOKUP(Y487,'4 - SGs'!$A$4:$E$24,2)),"",VLOOKUP(Y487,'4 - SGs'!$A$4:$E$24,2))</f>
        <v/>
      </c>
      <c r="AA487" s="149"/>
      <c r="AB487" s="149"/>
      <c r="AC487" s="149"/>
      <c r="AD487" s="149"/>
      <c r="AE487" s="153"/>
    </row>
    <row r="488" spans="11:31" s="150" customFormat="1" ht="12">
      <c r="K488" s="154"/>
      <c r="L488" s="154"/>
      <c r="M488" s="151"/>
      <c r="P488" s="152"/>
      <c r="Q488" s="157"/>
      <c r="R488" s="152"/>
      <c r="S488" s="157"/>
      <c r="T488" s="152"/>
      <c r="U488" s="157"/>
      <c r="V488" s="151"/>
      <c r="W488" s="151"/>
      <c r="X488" s="155" t="str">
        <f t="shared" si="8"/>
        <v/>
      </c>
      <c r="Y488" s="152"/>
      <c r="Z488" s="158" t="str">
        <f>IF(ISERROR(VLOOKUP(Y488,'4 - SGs'!$A$4:$E$24,2)),"",VLOOKUP(Y488,'4 - SGs'!$A$4:$E$24,2))</f>
        <v/>
      </c>
      <c r="AA488" s="149"/>
      <c r="AB488" s="149"/>
      <c r="AC488" s="149"/>
      <c r="AD488" s="149"/>
      <c r="AE488" s="153"/>
    </row>
    <row r="489" spans="11:31" s="150" customFormat="1" ht="12">
      <c r="K489" s="154"/>
      <c r="L489" s="154"/>
      <c r="M489" s="151"/>
      <c r="P489" s="152"/>
      <c r="Q489" s="157"/>
      <c r="R489" s="152"/>
      <c r="S489" s="157"/>
      <c r="T489" s="152"/>
      <c r="U489" s="157"/>
      <c r="V489" s="151"/>
      <c r="W489" s="151"/>
      <c r="X489" s="155" t="str">
        <f t="shared" si="8"/>
        <v/>
      </c>
      <c r="Y489" s="152"/>
      <c r="Z489" s="158" t="str">
        <f>IF(ISERROR(VLOOKUP(Y489,'4 - SGs'!$A$4:$E$24,2)),"",VLOOKUP(Y489,'4 - SGs'!$A$4:$E$24,2))</f>
        <v/>
      </c>
      <c r="AA489" s="149"/>
      <c r="AB489" s="149"/>
      <c r="AC489" s="149"/>
      <c r="AD489" s="149"/>
      <c r="AE489" s="153"/>
    </row>
    <row r="490" spans="11:31" s="150" customFormat="1" ht="12">
      <c r="K490" s="154"/>
      <c r="L490" s="154"/>
      <c r="M490" s="151"/>
      <c r="P490" s="152"/>
      <c r="Q490" s="157"/>
      <c r="R490" s="152"/>
      <c r="S490" s="157"/>
      <c r="T490" s="152"/>
      <c r="U490" s="157"/>
      <c r="V490" s="151"/>
      <c r="W490" s="151"/>
      <c r="X490" s="155" t="str">
        <f t="shared" si="8"/>
        <v/>
      </c>
      <c r="Y490" s="152"/>
      <c r="Z490" s="158" t="str">
        <f>IF(ISERROR(VLOOKUP(Y490,'4 - SGs'!$A$4:$E$24,2)),"",VLOOKUP(Y490,'4 - SGs'!$A$4:$E$24,2))</f>
        <v/>
      </c>
      <c r="AA490" s="149"/>
      <c r="AB490" s="149"/>
      <c r="AC490" s="149"/>
      <c r="AD490" s="149"/>
      <c r="AE490" s="153"/>
    </row>
    <row r="491" spans="11:31" s="150" customFormat="1" ht="12">
      <c r="K491" s="154"/>
      <c r="L491" s="154"/>
      <c r="M491" s="151"/>
      <c r="P491" s="152"/>
      <c r="Q491" s="157"/>
      <c r="R491" s="152"/>
      <c r="S491" s="157"/>
      <c r="T491" s="152"/>
      <c r="U491" s="157"/>
      <c r="V491" s="151"/>
      <c r="W491" s="151"/>
      <c r="X491" s="155" t="str">
        <f t="shared" si="8"/>
        <v/>
      </c>
      <c r="Y491" s="152"/>
      <c r="Z491" s="158" t="str">
        <f>IF(ISERROR(VLOOKUP(Y491,'4 - SGs'!$A$4:$E$24,2)),"",VLOOKUP(Y491,'4 - SGs'!$A$4:$E$24,2))</f>
        <v/>
      </c>
      <c r="AA491" s="149"/>
      <c r="AB491" s="149"/>
      <c r="AC491" s="149"/>
      <c r="AD491" s="149"/>
      <c r="AE491" s="153"/>
    </row>
    <row r="492" spans="11:31" s="150" customFormat="1" ht="12">
      <c r="K492" s="154"/>
      <c r="L492" s="154"/>
      <c r="M492" s="151"/>
      <c r="P492" s="152"/>
      <c r="Q492" s="157"/>
      <c r="R492" s="152"/>
      <c r="S492" s="157"/>
      <c r="T492" s="152"/>
      <c r="U492" s="157"/>
      <c r="V492" s="151"/>
      <c r="W492" s="151"/>
      <c r="X492" s="155" t="str">
        <f t="shared" si="8"/>
        <v/>
      </c>
      <c r="Y492" s="152"/>
      <c r="Z492" s="158" t="str">
        <f>IF(ISERROR(VLOOKUP(Y492,'4 - SGs'!$A$4:$E$24,2)),"",VLOOKUP(Y492,'4 - SGs'!$A$4:$E$24,2))</f>
        <v/>
      </c>
      <c r="AA492" s="149"/>
      <c r="AB492" s="149"/>
      <c r="AC492" s="149"/>
      <c r="AD492" s="149"/>
      <c r="AE492" s="153"/>
    </row>
    <row r="493" spans="11:31" s="150" customFormat="1" ht="12">
      <c r="K493" s="154"/>
      <c r="L493" s="154"/>
      <c r="M493" s="151"/>
      <c r="P493" s="152"/>
      <c r="Q493" s="157"/>
      <c r="R493" s="152"/>
      <c r="S493" s="157"/>
      <c r="T493" s="152"/>
      <c r="U493" s="157"/>
      <c r="V493" s="151"/>
      <c r="W493" s="151"/>
      <c r="X493" s="155" t="str">
        <f t="shared" si="8"/>
        <v/>
      </c>
      <c r="Y493" s="152"/>
      <c r="Z493" s="158" t="str">
        <f>IF(ISERROR(VLOOKUP(Y493,'4 - SGs'!$A$4:$E$24,2)),"",VLOOKUP(Y493,'4 - SGs'!$A$4:$E$24,2))</f>
        <v/>
      </c>
      <c r="AA493" s="149"/>
      <c r="AB493" s="149"/>
      <c r="AC493" s="149"/>
      <c r="AD493" s="149"/>
      <c r="AE493" s="153"/>
    </row>
    <row r="494" spans="11:31" s="150" customFormat="1" ht="12">
      <c r="K494" s="154"/>
      <c r="L494" s="154"/>
      <c r="M494" s="151"/>
      <c r="P494" s="152"/>
      <c r="Q494" s="157"/>
      <c r="R494" s="152"/>
      <c r="S494" s="157"/>
      <c r="T494" s="152"/>
      <c r="U494" s="157"/>
      <c r="V494" s="151"/>
      <c r="W494" s="151"/>
      <c r="X494" s="155" t="str">
        <f t="shared" si="8"/>
        <v/>
      </c>
      <c r="Y494" s="152"/>
      <c r="Z494" s="158" t="str">
        <f>IF(ISERROR(VLOOKUP(Y494,'4 - SGs'!$A$4:$E$24,2)),"",VLOOKUP(Y494,'4 - SGs'!$A$4:$E$24,2))</f>
        <v/>
      </c>
      <c r="AA494" s="149"/>
      <c r="AB494" s="149"/>
      <c r="AC494" s="149"/>
      <c r="AD494" s="149"/>
      <c r="AE494" s="153"/>
    </row>
    <row r="495" spans="11:31" s="150" customFormat="1" ht="12">
      <c r="K495" s="154"/>
      <c r="L495" s="154"/>
      <c r="M495" s="151"/>
      <c r="P495" s="152"/>
      <c r="Q495" s="157"/>
      <c r="R495" s="152"/>
      <c r="S495" s="157"/>
      <c r="T495" s="152"/>
      <c r="U495" s="157"/>
      <c r="V495" s="151"/>
      <c r="W495" s="151"/>
      <c r="X495" s="155" t="str">
        <f t="shared" si="8"/>
        <v/>
      </c>
      <c r="Y495" s="152"/>
      <c r="Z495" s="158" t="str">
        <f>IF(ISERROR(VLOOKUP(Y495,'4 - SGs'!$A$4:$E$24,2)),"",VLOOKUP(Y495,'4 - SGs'!$A$4:$E$24,2))</f>
        <v/>
      </c>
      <c r="AA495" s="149"/>
      <c r="AB495" s="149"/>
      <c r="AC495" s="149"/>
      <c r="AD495" s="149"/>
      <c r="AE495" s="153"/>
    </row>
    <row r="496" spans="11:31" s="150" customFormat="1" ht="12">
      <c r="K496" s="154"/>
      <c r="L496" s="154"/>
      <c r="M496" s="151"/>
      <c r="P496" s="152"/>
      <c r="Q496" s="157"/>
      <c r="R496" s="152"/>
      <c r="S496" s="157"/>
      <c r="T496" s="152"/>
      <c r="U496" s="157"/>
      <c r="V496" s="151"/>
      <c r="W496" s="151"/>
      <c r="X496" s="155" t="str">
        <f t="shared" si="8"/>
        <v/>
      </c>
      <c r="Y496" s="152"/>
      <c r="Z496" s="158" t="str">
        <f>IF(ISERROR(VLOOKUP(Y496,'4 - SGs'!$A$4:$E$24,2)),"",VLOOKUP(Y496,'4 - SGs'!$A$4:$E$24,2))</f>
        <v/>
      </c>
      <c r="AA496" s="149"/>
      <c r="AB496" s="149"/>
      <c r="AC496" s="149"/>
      <c r="AD496" s="149"/>
      <c r="AE496" s="153"/>
    </row>
    <row r="497" spans="11:31" s="150" customFormat="1" ht="12">
      <c r="K497" s="154"/>
      <c r="L497" s="154"/>
      <c r="M497" s="151"/>
      <c r="P497" s="152"/>
      <c r="Q497" s="157"/>
      <c r="R497" s="152"/>
      <c r="S497" s="157"/>
      <c r="T497" s="152"/>
      <c r="U497" s="157"/>
      <c r="V497" s="151"/>
      <c r="W497" s="151"/>
      <c r="X497" s="155" t="str">
        <f t="shared" si="8"/>
        <v/>
      </c>
      <c r="Y497" s="152"/>
      <c r="Z497" s="158" t="str">
        <f>IF(ISERROR(VLOOKUP(Y497,'4 - SGs'!$A$4:$E$24,2)),"",VLOOKUP(Y497,'4 - SGs'!$A$4:$E$24,2))</f>
        <v/>
      </c>
      <c r="AA497" s="149"/>
      <c r="AB497" s="149"/>
      <c r="AC497" s="149"/>
      <c r="AD497" s="149"/>
      <c r="AE497" s="153"/>
    </row>
  </sheetData>
  <autoFilter ref="B3:AM14" xr:uid="{00000000-0009-0000-0000-000007000000}"/>
  <dataConsolidate/>
  <customSheetViews>
    <customSheetView guid="{1EC8F930-14F4-4F68-ADDF-6F0F0EB721BA}" colorId="23" showGridLines="0" fitToPage="1" showAutoFilter="1" topLeftCell="Z1">
      <pane ySplit="3" topLeftCell="A4" activePane="bottomLeft" state="frozen"/>
      <selection pane="bottomLeft" activeCell="AC2" sqref="AC2"/>
      <pageMargins left="0" right="0" top="0" bottom="0" header="0" footer="0"/>
      <printOptions horizontalCentered="1"/>
      <pageSetup paperSize="9" scale="87" fitToWidth="4" fitToHeight="0" orientation="landscape" r:id="rId1"/>
      <headerFooter alignWithMargins="0">
        <oddHeader>&amp;L&amp;G&amp;C&amp;"Arial,Fett"&amp;14FFSD02 Hazard Analysis and Risk Assessment</oddHeader>
        <oddFooter>&amp;L&amp;8Document Class: &amp;"Arial,Fett"Confidential&amp;"Arial,Standard"GIS Series/Retention: &amp;"Arial,Fett"27.60, 35&amp;RPage &amp;P of &amp;N</oddFooter>
      </headerFooter>
      <autoFilter ref="B3:AK12" xr:uid="{727DF346-0157-4BD2-B099-0E87BD66D859}"/>
    </customSheetView>
    <customSheetView guid="{97C31678-F053-4946-809D-FA0B847F2A76}" colorId="23" showPageBreaks="1" showGridLines="0" fitToPage="1" printArea="1" showAutoFilter="1" topLeftCell="Z1">
      <pane ySplit="3" topLeftCell="A4" activePane="bottomLeft" state="frozen"/>
      <selection pane="bottomLeft" activeCell="AC2" sqref="AC2"/>
      <pageMargins left="0" right="0" top="0" bottom="0" header="0" footer="0"/>
      <printOptions horizontalCentered="1"/>
      <pageSetup paperSize="9" scale="87" fitToWidth="4" fitToHeight="0" orientation="landscape" r:id="rId2"/>
      <headerFooter alignWithMargins="0">
        <oddHeader>&amp;L&amp;G&amp;C&amp;"Arial,Fett"&amp;14FFSD02 Hazard Analysis and Risk Assessment</oddHeader>
        <oddFooter>&amp;L&amp;8Document Class: &amp;"Arial,Fett"Confidential&amp;"Arial,Standard"GIS Series/Retention: &amp;"Arial,Fett"27.60, 35&amp;RPage &amp;P of &amp;N</oddFooter>
      </headerFooter>
      <autoFilter ref="B3:AK12" xr:uid="{5C560E6F-B72D-4B85-B6D4-26D9ABCAEF3D}"/>
    </customSheetView>
  </customSheetViews>
  <mergeCells count="4">
    <mergeCell ref="B2:D2"/>
    <mergeCell ref="Y2:Z2"/>
    <mergeCell ref="B1:Z1"/>
    <mergeCell ref="V2:W2"/>
  </mergeCells>
  <phoneticPr fontId="13" type="noConversion"/>
  <conditionalFormatting sqref="X4:X5 X7:X497">
    <cfRule type="cellIs" dxfId="23" priority="41" operator="equal">
      <formula>"QM"</formula>
    </cfRule>
    <cfRule type="cellIs" dxfId="22" priority="42" operator="equal">
      <formula>"D"</formula>
    </cfRule>
    <cfRule type="cellIs" dxfId="21" priority="43" operator="equal">
      <formula>"C"</formula>
    </cfRule>
    <cfRule type="cellIs" dxfId="20" priority="44" operator="equal">
      <formula>"B"</formula>
    </cfRule>
    <cfRule type="cellIs" dxfId="19" priority="45" operator="equal">
      <formula>"A"</formula>
    </cfRule>
  </conditionalFormatting>
  <conditionalFormatting sqref="X8">
    <cfRule type="cellIs" dxfId="18" priority="24" operator="equal">
      <formula>"QM"</formula>
    </cfRule>
    <cfRule type="cellIs" dxfId="17" priority="25" operator="equal">
      <formula>"D"</formula>
    </cfRule>
    <cfRule type="cellIs" dxfId="16" priority="26" operator="equal">
      <formula>"C"</formula>
    </cfRule>
    <cfRule type="cellIs" dxfId="15" priority="27" operator="equal">
      <formula>"B"</formula>
    </cfRule>
    <cfRule type="cellIs" dxfId="14" priority="28" operator="equal">
      <formula>"A"</formula>
    </cfRule>
  </conditionalFormatting>
  <conditionalFormatting sqref="X6">
    <cfRule type="cellIs" dxfId="13" priority="11" operator="equal">
      <formula>"QM"</formula>
    </cfRule>
    <cfRule type="cellIs" dxfId="12" priority="12" operator="equal">
      <formula>"D"</formula>
    </cfRule>
    <cfRule type="cellIs" dxfId="11" priority="13" operator="equal">
      <formula>"C"</formula>
    </cfRule>
    <cfRule type="cellIs" dxfId="10" priority="14" operator="equal">
      <formula>"B"</formula>
    </cfRule>
    <cfRule type="cellIs" dxfId="9" priority="15" operator="equal">
      <formula>"A"</formula>
    </cfRule>
  </conditionalFormatting>
  <conditionalFormatting sqref="X16">
    <cfRule type="cellIs" dxfId="8" priority="1" operator="equal">
      <formula>"QM"</formula>
    </cfRule>
    <cfRule type="cellIs" dxfId="7" priority="2" operator="equal">
      <formula>"D"</formula>
    </cfRule>
    <cfRule type="cellIs" dxfId="6" priority="3" operator="equal">
      <formula>"C"</formula>
    </cfRule>
    <cfRule type="cellIs" dxfId="5" priority="4" operator="equal">
      <formula>"B"</formula>
    </cfRule>
    <cfRule type="cellIs" dxfId="4" priority="5" operator="equal">
      <formula>"A"</formula>
    </cfRule>
  </conditionalFormatting>
  <dataValidations count="12">
    <dataValidation showInputMessage="1" showErrorMessage="1" errorTitle="Wrong Input Data" error="Valid Input: -, 0, 1, 2, 3, 4" sqref="R2:R3" xr:uid="{00000000-0002-0000-0700-000002000000}"/>
    <dataValidation type="list" allowBlank="1" showInputMessage="1" showErrorMessage="1" sqref="F22:F126" xr:uid="{00000000-0002-0000-0700-000003000000}">
      <formula1>Location</formula1>
    </dataValidation>
    <dataValidation type="list" showInputMessage="1" showErrorMessage="1" errorTitle="Wrong Input Data" error="Valid Input: -, 0, 1, 2, 3" sqref="T4:T497" xr:uid="{00000000-0002-0000-0700-000000000000}">
      <formula1>"-,C0,C1,C2,C3"</formula1>
    </dataValidation>
    <dataValidation type="list" showInputMessage="1" showErrorMessage="1" errorTitle="Wrong Input Data" error="Valid Input: -, 0, 1, 2, 3, 4" sqref="R4:R497" xr:uid="{00000000-0002-0000-0700-000001000000}">
      <formula1>"-,E0,E1,E2,E3,E4"</formula1>
    </dataValidation>
    <dataValidation type="list" allowBlank="1" showInputMessage="1" sqref="F4:F21" xr:uid="{00000000-0002-0000-0700-000005000000}">
      <formula1>Location</formula1>
    </dataValidation>
    <dataValidation type="list" showInputMessage="1" showErrorMessage="1" errorTitle="Wrong Input Data" error="Valid Input: -, 0, 1, 2, 3" sqref="P4:P497" xr:uid="{00000000-0002-0000-0700-000004000000}">
      <formula1>"-,S0,S1,S2,S3"</formula1>
    </dataValidation>
    <dataValidation type="list" allowBlank="1" showInputMessage="1" showErrorMessage="1" sqref="C4:C497" xr:uid="{00000000-0002-0000-0700-000006000000}">
      <formula1>Guideword</formula1>
    </dataValidation>
    <dataValidation type="list" allowBlank="1" showInputMessage="1" showErrorMessage="1" sqref="G4:G47" xr:uid="{00000000-0002-0000-0700-000007000000}">
      <formula1>Target2</formula1>
    </dataValidation>
    <dataValidation type="list" allowBlank="1" showInputMessage="1" showErrorMessage="1" sqref="H4:H197" xr:uid="{00000000-0002-0000-0700-000008000000}">
      <formula1>Road_Conditions</formula1>
    </dataValidation>
    <dataValidation type="list" allowBlank="1" showInputMessage="1" showErrorMessage="1" sqref="I4:I197" xr:uid="{00000000-0002-0000-0700-000009000000}">
      <formula1>Environmental_Conditions</formula1>
    </dataValidation>
    <dataValidation type="list" allowBlank="1" showInputMessage="1" showErrorMessage="1" sqref="J4:J197" xr:uid="{00000000-0002-0000-0700-00000A000000}">
      <formula1>Vehicle_Usage</formula1>
    </dataValidation>
    <dataValidation type="list" allowBlank="1" showInputMessage="1" showErrorMessage="1" sqref="AB4:AB497" xr:uid="{B428B41F-02C1-4027-9EBB-F637CD359095}">
      <formula1>"Not Reviewed,In Progress,Completed"</formula1>
    </dataValidation>
  </dataValidations>
  <hyperlinks>
    <hyperlink ref="P3" location="Severity!A1" display="Category" xr:uid="{00000000-0004-0000-0700-000000000000}"/>
    <hyperlink ref="T3" location="Controllability!A1" display="Category" xr:uid="{00000000-0004-0000-0700-000001000000}"/>
    <hyperlink ref="R3" location="Exposure!A1" display="Category" xr:uid="{00000000-0004-0000-0700-000002000000}"/>
  </hyperlinks>
  <printOptions horizontalCentered="1"/>
  <pageMargins left="0.78740157480314965" right="0.39370078740157483" top="0.78740157480314965" bottom="0.82677165354330717" header="0.19685039370078741" footer="0.31496062992125984"/>
  <pageSetup paperSize="9" scale="87" fitToWidth="4" fitToHeight="0" orientation="landscape" r:id="rId3"/>
  <headerFooter alignWithMargins="0">
    <oddHeader>&amp;L&amp;G&amp;C&amp;"Arial,Fett"&amp;14FFSD02 Hazard Analysis and Risk Assessment</oddHeader>
    <oddFooter>&amp;L&amp;8Document Class: &amp;"Arial,Fett"Confidential&amp;"Arial,Standard"GIS Series/Retention: &amp;"Arial,Fett"27.60, 35&amp;RPage &amp;P of &amp;N</oddFooter>
  </headerFooter>
  <drawing r:id="rId4"/>
  <legacyDrawingHF r:id="rId5"/>
  <extLst>
    <ext xmlns:x14="http://schemas.microsoft.com/office/spreadsheetml/2009/9/main" uri="{CCE6A557-97BC-4b89-ADB6-D9C93CAAB3DF}">
      <x14:dataValidations xmlns:xm="http://schemas.microsoft.com/office/excel/2006/main" count="3">
        <x14:dataValidation type="list" allowBlank="1" showInputMessage="1" xr:uid="{38BDED67-EEA0-4126-995E-2DDBCFF14AC2}">
          <x14:formula1>
            <xm:f>'https://azureford.sharepoint.com/sites/GlobalFunctionalSafety/Released Templates Guidelines and Examples/Templates/[FFSD02_HazardAnalysisAndRiskAssessment_Template FTTI_Proposal_FS-679_Finalized.xlsm]Lookup Tables (hide me)'!#REF!</xm:f>
          </x14:formula1>
          <xm:sqref>V1:V3 V498:V1048576</xm:sqref>
        </x14:dataValidation>
        <x14:dataValidation type="list" allowBlank="1" showInputMessage="1" xr:uid="{17108F0B-8033-4ED2-BCEA-C9303E554AFB}">
          <x14:formula1>
            <xm:f>'FTTI Reference Tables (hide me)'!$A$1:$A$20</xm:f>
          </x14:formula1>
          <xm:sqref>V4:V11 V22:V497</xm:sqref>
        </x14:dataValidation>
        <x14:dataValidation type="list" allowBlank="1" showInputMessage="1" showErrorMessage="1" xr:uid="{00000000-0002-0000-0700-00000B000000}">
          <x14:formula1>
            <xm:f>'Hazard Dictionary'!$B$2:$B$35</xm:f>
          </x14:formula1>
          <xm:sqref>M4:M11 M22:M1048576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4">
    <tabColor indexed="9"/>
  </sheetPr>
  <dimension ref="A1:F1000"/>
  <sheetViews>
    <sheetView workbookViewId="0">
      <selection activeCell="H4" sqref="H4"/>
    </sheetView>
  </sheetViews>
  <sheetFormatPr defaultColWidth="16.7109375" defaultRowHeight="12.75"/>
  <cols>
    <col min="1" max="1" width="5.7109375" style="46" customWidth="1"/>
    <col min="2" max="2" width="50.7109375" style="47" customWidth="1"/>
    <col min="3" max="4" width="26.7109375" style="47" customWidth="1"/>
    <col min="5" max="5" width="5.7109375" style="46" customWidth="1"/>
    <col min="6" max="6" width="23" style="46" customWidth="1"/>
  </cols>
  <sheetData>
    <row r="1" spans="1:6" ht="57.75" customHeight="1">
      <c r="A1" s="387" t="s">
        <v>243</v>
      </c>
      <c r="B1" s="388"/>
      <c r="C1" s="388"/>
      <c r="D1" s="388"/>
      <c r="E1" s="388"/>
      <c r="F1" s="388"/>
    </row>
    <row r="2" spans="1:6" s="6" customFormat="1">
      <c r="A2" s="389" t="s">
        <v>223</v>
      </c>
      <c r="B2" s="389"/>
      <c r="C2" s="389"/>
      <c r="D2" s="389"/>
      <c r="E2" s="389"/>
      <c r="F2" s="389"/>
    </row>
    <row r="3" spans="1:6" s="32" customFormat="1">
      <c r="A3" s="36" t="s">
        <v>42</v>
      </c>
      <c r="B3" s="36" t="s">
        <v>25</v>
      </c>
      <c r="C3" s="36" t="s">
        <v>244</v>
      </c>
      <c r="D3" s="36" t="s">
        <v>241</v>
      </c>
      <c r="E3" s="36" t="s">
        <v>222</v>
      </c>
      <c r="F3" s="36" t="s">
        <v>245</v>
      </c>
    </row>
    <row r="4" spans="1:6">
      <c r="A4" s="145"/>
      <c r="B4" s="61"/>
      <c r="C4" s="61"/>
      <c r="D4" s="221"/>
      <c r="E4" s="219"/>
      <c r="F4" s="163"/>
    </row>
    <row r="5" spans="1:6">
      <c r="A5" s="145"/>
      <c r="B5" s="61"/>
      <c r="C5" s="61"/>
      <c r="D5" s="220"/>
      <c r="E5" s="57"/>
      <c r="F5" s="163"/>
    </row>
    <row r="6" spans="1:6">
      <c r="A6" s="145"/>
      <c r="B6" s="61"/>
      <c r="C6" s="61"/>
      <c r="D6" s="220"/>
      <c r="E6" s="57"/>
      <c r="F6" s="163"/>
    </row>
    <row r="7" spans="1:6">
      <c r="A7" s="145"/>
      <c r="B7" s="61"/>
      <c r="C7" s="61"/>
      <c r="D7" s="220"/>
      <c r="E7" s="57"/>
      <c r="F7" s="163"/>
    </row>
    <row r="8" spans="1:6">
      <c r="A8" s="145"/>
      <c r="B8" s="61"/>
      <c r="C8" s="61"/>
      <c r="D8" s="220"/>
      <c r="E8" s="57"/>
      <c r="F8" s="163"/>
    </row>
    <row r="9" spans="1:6">
      <c r="A9" s="145"/>
      <c r="B9" s="61"/>
      <c r="C9" s="61"/>
      <c r="D9" s="220"/>
      <c r="E9" s="57"/>
      <c r="F9" s="163"/>
    </row>
    <row r="10" spans="1:6">
      <c r="A10" s="145"/>
      <c r="B10" s="61"/>
      <c r="C10" s="61"/>
      <c r="D10" s="220"/>
      <c r="E10" s="57"/>
      <c r="F10" s="163"/>
    </row>
    <row r="11" spans="1:6">
      <c r="A11" s="145"/>
      <c r="B11" s="61"/>
      <c r="C11" s="61"/>
      <c r="D11" s="220"/>
      <c r="E11" s="57"/>
      <c r="F11" s="163"/>
    </row>
    <row r="12" spans="1:6">
      <c r="A12" s="145"/>
      <c r="B12" s="61"/>
      <c r="C12" s="61"/>
      <c r="D12" s="220"/>
      <c r="E12" s="57"/>
      <c r="F12" s="163"/>
    </row>
    <row r="13" spans="1:6">
      <c r="A13" s="145"/>
      <c r="B13" s="61"/>
      <c r="C13" s="61"/>
      <c r="D13" s="220"/>
      <c r="E13" s="57"/>
      <c r="F13" s="163"/>
    </row>
    <row r="14" spans="1:6">
      <c r="A14" s="145"/>
      <c r="B14" s="61"/>
      <c r="C14" s="61"/>
      <c r="D14" s="220"/>
      <c r="E14" s="57"/>
      <c r="F14" s="163"/>
    </row>
    <row r="15" spans="1:6">
      <c r="A15" s="145"/>
      <c r="B15" s="61"/>
      <c r="C15" s="61"/>
      <c r="D15" s="220"/>
      <c r="E15" s="57"/>
      <c r="F15" s="163"/>
    </row>
    <row r="16" spans="1:6">
      <c r="A16" s="145"/>
      <c r="B16" s="61"/>
      <c r="C16" s="61"/>
      <c r="D16" s="220"/>
      <c r="E16" s="57"/>
      <c r="F16" s="163"/>
    </row>
    <row r="17" spans="1:6">
      <c r="A17" s="145"/>
      <c r="B17" s="61"/>
      <c r="C17" s="61"/>
      <c r="D17" s="220"/>
      <c r="E17" s="57"/>
      <c r="F17" s="163"/>
    </row>
    <row r="18" spans="1:6">
      <c r="A18" s="145"/>
      <c r="B18" s="61"/>
      <c r="C18" s="61"/>
      <c r="D18" s="220"/>
      <c r="E18" s="57"/>
      <c r="F18" s="163"/>
    </row>
    <row r="19" spans="1:6">
      <c r="A19" s="145"/>
      <c r="B19" s="61"/>
      <c r="C19" s="61"/>
      <c r="D19" s="220"/>
      <c r="E19" s="57"/>
      <c r="F19" s="163"/>
    </row>
    <row r="20" spans="1:6">
      <c r="A20" s="145"/>
      <c r="B20" s="61"/>
      <c r="C20" s="61"/>
      <c r="D20" s="220"/>
      <c r="E20" s="57"/>
      <c r="F20" s="163"/>
    </row>
    <row r="21" spans="1:6">
      <c r="A21" s="145"/>
      <c r="B21" s="61"/>
      <c r="C21" s="61"/>
      <c r="D21" s="220"/>
      <c r="E21" s="57"/>
      <c r="F21" s="163"/>
    </row>
    <row r="22" spans="1:6">
      <c r="A22" s="145"/>
      <c r="B22" s="61"/>
      <c r="C22" s="61"/>
      <c r="D22" s="220"/>
      <c r="E22" s="57"/>
      <c r="F22" s="163"/>
    </row>
    <row r="23" spans="1:6">
      <c r="A23" s="145"/>
      <c r="B23" s="61"/>
      <c r="C23" s="61"/>
      <c r="D23" s="220"/>
      <c r="E23" s="57"/>
      <c r="F23" s="163"/>
    </row>
    <row r="24" spans="1:6">
      <c r="A24" s="145"/>
      <c r="B24" s="61"/>
      <c r="C24" s="61"/>
      <c r="D24" s="220"/>
      <c r="E24" s="57"/>
      <c r="F24" s="163"/>
    </row>
    <row r="25" spans="1:6">
      <c r="D25" s="181"/>
      <c r="E25" s="165"/>
      <c r="F25" s="100"/>
    </row>
    <row r="26" spans="1:6">
      <c r="D26" s="181"/>
      <c r="E26" s="100"/>
      <c r="F26" s="100"/>
    </row>
    <row r="27" spans="1:6">
      <c r="D27" s="181"/>
      <c r="E27" s="100"/>
      <c r="F27" s="100"/>
    </row>
    <row r="28" spans="1:6">
      <c r="D28" s="181"/>
      <c r="E28" s="100"/>
      <c r="F28" s="100"/>
    </row>
    <row r="29" spans="1:6">
      <c r="D29" s="181"/>
      <c r="E29" s="100"/>
      <c r="F29" s="100"/>
    </row>
    <row r="30" spans="1:6">
      <c r="D30" s="181"/>
      <c r="E30" s="100"/>
      <c r="F30" s="100"/>
    </row>
    <row r="31" spans="1:6">
      <c r="D31" s="181"/>
      <c r="E31" s="100"/>
      <c r="F31" s="100"/>
    </row>
    <row r="32" spans="1:6">
      <c r="D32" s="181"/>
      <c r="E32" s="100"/>
      <c r="F32" s="100"/>
    </row>
    <row r="33" spans="4:6">
      <c r="D33" s="181"/>
      <c r="E33" s="100"/>
      <c r="F33" s="100"/>
    </row>
    <row r="34" spans="4:6">
      <c r="D34" s="181"/>
      <c r="E34" s="100"/>
      <c r="F34" s="100"/>
    </row>
    <row r="35" spans="4:6">
      <c r="D35" s="181"/>
      <c r="E35" s="100"/>
      <c r="F35" s="100"/>
    </row>
    <row r="36" spans="4:6">
      <c r="D36" s="181"/>
      <c r="E36" s="100"/>
      <c r="F36" s="100"/>
    </row>
    <row r="37" spans="4:6">
      <c r="D37" s="181"/>
      <c r="E37" s="100"/>
      <c r="F37" s="100"/>
    </row>
    <row r="38" spans="4:6">
      <c r="D38" s="181"/>
      <c r="E38" s="100"/>
      <c r="F38" s="100"/>
    </row>
    <row r="39" spans="4:6">
      <c r="D39" s="181"/>
      <c r="E39" s="100"/>
      <c r="F39" s="100"/>
    </row>
    <row r="40" spans="4:6">
      <c r="D40" s="181"/>
      <c r="E40" s="100"/>
      <c r="F40" s="100"/>
    </row>
    <row r="41" spans="4:6">
      <c r="D41" s="181"/>
      <c r="E41" s="100"/>
      <c r="F41" s="100"/>
    </row>
    <row r="42" spans="4:6">
      <c r="D42" s="181"/>
      <c r="E42" s="100"/>
      <c r="F42" s="100"/>
    </row>
    <row r="43" spans="4:6">
      <c r="D43" s="181"/>
      <c r="E43" s="100"/>
      <c r="F43" s="100"/>
    </row>
    <row r="44" spans="4:6">
      <c r="D44" s="181"/>
      <c r="E44" s="100"/>
      <c r="F44" s="100"/>
    </row>
    <row r="45" spans="4:6">
      <c r="D45" s="181"/>
      <c r="E45" s="100"/>
      <c r="F45" s="100"/>
    </row>
    <row r="46" spans="4:6">
      <c r="D46" s="181"/>
      <c r="E46" s="100"/>
      <c r="F46" s="100"/>
    </row>
    <row r="47" spans="4:6">
      <c r="D47" s="181"/>
      <c r="E47" s="100"/>
      <c r="F47" s="100"/>
    </row>
    <row r="48" spans="4:6">
      <c r="D48" s="181"/>
      <c r="E48" s="100"/>
      <c r="F48" s="100"/>
    </row>
    <row r="49" spans="4:6">
      <c r="D49" s="181"/>
      <c r="E49" s="100"/>
      <c r="F49" s="100"/>
    </row>
    <row r="50" spans="4:6">
      <c r="D50" s="181"/>
      <c r="E50" s="100"/>
      <c r="F50" s="100"/>
    </row>
    <row r="51" spans="4:6">
      <c r="D51" s="181"/>
      <c r="E51" s="100"/>
      <c r="F51" s="100"/>
    </row>
    <row r="52" spans="4:6">
      <c r="D52" s="181"/>
      <c r="E52" s="100"/>
      <c r="F52" s="100"/>
    </row>
    <row r="53" spans="4:6">
      <c r="D53" s="181"/>
      <c r="E53" s="100"/>
      <c r="F53" s="100"/>
    </row>
    <row r="54" spans="4:6">
      <c r="D54" s="181"/>
      <c r="E54" s="100"/>
      <c r="F54" s="100"/>
    </row>
    <row r="55" spans="4:6">
      <c r="D55" s="181"/>
      <c r="E55" s="100"/>
      <c r="F55" s="100"/>
    </row>
    <row r="56" spans="4:6">
      <c r="D56" s="181"/>
      <c r="E56" s="100"/>
      <c r="F56" s="100"/>
    </row>
    <row r="57" spans="4:6">
      <c r="D57" s="181"/>
      <c r="E57" s="100"/>
      <c r="F57" s="100"/>
    </row>
    <row r="58" spans="4:6">
      <c r="D58" s="181"/>
      <c r="E58" s="100"/>
      <c r="F58" s="100"/>
    </row>
    <row r="59" spans="4:6">
      <c r="D59" s="181"/>
      <c r="E59" s="100"/>
      <c r="F59" s="100"/>
    </row>
    <row r="60" spans="4:6">
      <c r="D60" s="181"/>
      <c r="E60" s="100"/>
      <c r="F60" s="100"/>
    </row>
    <row r="61" spans="4:6">
      <c r="D61" s="181"/>
      <c r="E61" s="100"/>
      <c r="F61" s="100"/>
    </row>
    <row r="62" spans="4:6">
      <c r="D62" s="181"/>
      <c r="E62" s="100"/>
      <c r="F62" s="100"/>
    </row>
    <row r="63" spans="4:6">
      <c r="D63" s="181"/>
      <c r="E63" s="100"/>
      <c r="F63" s="100"/>
    </row>
    <row r="64" spans="4:6">
      <c r="D64" s="181"/>
      <c r="E64" s="100"/>
      <c r="F64" s="100"/>
    </row>
    <row r="65" spans="4:6">
      <c r="D65" s="181"/>
      <c r="E65" s="100"/>
      <c r="F65" s="100"/>
    </row>
    <row r="66" spans="4:6">
      <c r="D66" s="181"/>
      <c r="E66" s="100"/>
      <c r="F66" s="100"/>
    </row>
    <row r="67" spans="4:6">
      <c r="D67" s="181"/>
      <c r="E67" s="100"/>
      <c r="F67" s="100"/>
    </row>
    <row r="68" spans="4:6">
      <c r="D68" s="181"/>
      <c r="E68" s="100"/>
      <c r="F68" s="100"/>
    </row>
    <row r="69" spans="4:6">
      <c r="D69" s="181"/>
      <c r="E69" s="100"/>
      <c r="F69" s="100"/>
    </row>
    <row r="70" spans="4:6">
      <c r="D70" s="181"/>
      <c r="E70" s="100"/>
      <c r="F70" s="100"/>
    </row>
    <row r="71" spans="4:6">
      <c r="D71" s="181"/>
      <c r="E71" s="100"/>
      <c r="F71" s="100"/>
    </row>
    <row r="72" spans="4:6">
      <c r="D72" s="181"/>
      <c r="E72" s="100"/>
      <c r="F72" s="100"/>
    </row>
    <row r="73" spans="4:6">
      <c r="D73" s="181"/>
      <c r="E73" s="100"/>
      <c r="F73" s="100"/>
    </row>
    <row r="74" spans="4:6">
      <c r="D74" s="181"/>
      <c r="E74" s="100"/>
      <c r="F74" s="100"/>
    </row>
    <row r="75" spans="4:6">
      <c r="D75" s="181"/>
      <c r="E75" s="100"/>
      <c r="F75" s="100"/>
    </row>
    <row r="76" spans="4:6">
      <c r="D76" s="181"/>
      <c r="E76" s="100"/>
      <c r="F76" s="100"/>
    </row>
    <row r="77" spans="4:6">
      <c r="D77" s="181"/>
      <c r="E77" s="100"/>
      <c r="F77" s="100"/>
    </row>
    <row r="78" spans="4:6">
      <c r="D78" s="181"/>
      <c r="E78" s="100"/>
      <c r="F78" s="100"/>
    </row>
    <row r="79" spans="4:6">
      <c r="D79" s="181"/>
      <c r="E79" s="100"/>
      <c r="F79" s="100"/>
    </row>
    <row r="80" spans="4:6">
      <c r="D80" s="181"/>
      <c r="E80" s="100"/>
      <c r="F80" s="100"/>
    </row>
    <row r="81" spans="4:6">
      <c r="D81" s="181"/>
      <c r="E81" s="100"/>
      <c r="F81" s="100"/>
    </row>
    <row r="82" spans="4:6">
      <c r="D82" s="181"/>
      <c r="E82" s="100"/>
      <c r="F82" s="100"/>
    </row>
    <row r="83" spans="4:6">
      <c r="D83" s="181"/>
      <c r="E83" s="100"/>
      <c r="F83" s="100"/>
    </row>
    <row r="84" spans="4:6">
      <c r="D84" s="181"/>
      <c r="E84" s="100"/>
      <c r="F84" s="100"/>
    </row>
    <row r="85" spans="4:6">
      <c r="D85" s="181"/>
      <c r="E85" s="100"/>
      <c r="F85" s="100"/>
    </row>
    <row r="86" spans="4:6">
      <c r="D86" s="181"/>
      <c r="E86" s="100"/>
      <c r="F86" s="100"/>
    </row>
    <row r="87" spans="4:6">
      <c r="D87" s="181"/>
      <c r="E87" s="100"/>
      <c r="F87" s="100"/>
    </row>
    <row r="88" spans="4:6">
      <c r="D88" s="181"/>
      <c r="E88" s="100"/>
      <c r="F88" s="100"/>
    </row>
    <row r="89" spans="4:6">
      <c r="D89" s="181"/>
      <c r="E89" s="100"/>
      <c r="F89" s="100"/>
    </row>
    <row r="90" spans="4:6">
      <c r="D90" s="181"/>
      <c r="E90" s="100"/>
      <c r="F90" s="100"/>
    </row>
    <row r="91" spans="4:6">
      <c r="D91" s="181"/>
      <c r="E91" s="100"/>
      <c r="F91" s="100"/>
    </row>
    <row r="92" spans="4:6">
      <c r="D92" s="181"/>
      <c r="E92" s="100"/>
      <c r="F92" s="100"/>
    </row>
    <row r="93" spans="4:6">
      <c r="D93" s="181"/>
      <c r="E93" s="100"/>
      <c r="F93" s="100"/>
    </row>
    <row r="94" spans="4:6">
      <c r="D94" s="181"/>
      <c r="E94" s="100"/>
      <c r="F94" s="100"/>
    </row>
    <row r="95" spans="4:6">
      <c r="D95" s="181"/>
      <c r="E95" s="100"/>
      <c r="F95" s="100"/>
    </row>
    <row r="96" spans="4:6">
      <c r="D96" s="181"/>
      <c r="E96" s="100"/>
      <c r="F96" s="100"/>
    </row>
    <row r="97" spans="4:6">
      <c r="D97" s="181"/>
      <c r="E97" s="100"/>
      <c r="F97" s="100"/>
    </row>
    <row r="98" spans="4:6">
      <c r="D98" s="181"/>
      <c r="E98" s="100"/>
      <c r="F98" s="100"/>
    </row>
    <row r="99" spans="4:6">
      <c r="D99" s="181"/>
      <c r="E99" s="100"/>
      <c r="F99" s="100"/>
    </row>
    <row r="100" spans="4:6">
      <c r="D100" s="181"/>
      <c r="E100" s="100"/>
      <c r="F100" s="100"/>
    </row>
    <row r="101" spans="4:6">
      <c r="D101" s="181"/>
      <c r="E101" s="100"/>
      <c r="F101" s="100"/>
    </row>
    <row r="102" spans="4:6">
      <c r="D102" s="181"/>
      <c r="E102" s="100"/>
      <c r="F102" s="100"/>
    </row>
    <row r="103" spans="4:6">
      <c r="D103" s="181"/>
      <c r="E103" s="100"/>
      <c r="F103" s="100"/>
    </row>
    <row r="104" spans="4:6">
      <c r="D104" s="181"/>
      <c r="E104" s="100"/>
      <c r="F104" s="100"/>
    </row>
    <row r="105" spans="4:6">
      <c r="D105" s="181"/>
      <c r="E105" s="100"/>
      <c r="F105" s="100"/>
    </row>
    <row r="106" spans="4:6">
      <c r="D106" s="181"/>
      <c r="E106" s="100"/>
      <c r="F106" s="100"/>
    </row>
    <row r="107" spans="4:6">
      <c r="D107" s="181"/>
      <c r="E107" s="100"/>
      <c r="F107" s="100"/>
    </row>
    <row r="108" spans="4:6">
      <c r="D108" s="181"/>
      <c r="E108" s="100"/>
      <c r="F108" s="100"/>
    </row>
    <row r="109" spans="4:6">
      <c r="D109" s="181"/>
      <c r="E109" s="100"/>
      <c r="F109" s="100"/>
    </row>
    <row r="110" spans="4:6">
      <c r="D110" s="181"/>
      <c r="E110" s="100"/>
      <c r="F110" s="100"/>
    </row>
    <row r="111" spans="4:6">
      <c r="D111" s="181"/>
      <c r="E111" s="100"/>
      <c r="F111" s="100"/>
    </row>
    <row r="112" spans="4:6">
      <c r="D112" s="181"/>
      <c r="E112" s="100"/>
      <c r="F112" s="100"/>
    </row>
    <row r="113" spans="4:6">
      <c r="D113" s="181"/>
      <c r="E113" s="100"/>
      <c r="F113" s="100"/>
    </row>
    <row r="114" spans="4:6">
      <c r="D114" s="181"/>
      <c r="E114" s="100"/>
      <c r="F114" s="100"/>
    </row>
    <row r="115" spans="4:6">
      <c r="D115" s="181"/>
      <c r="E115" s="100"/>
      <c r="F115" s="100"/>
    </row>
    <row r="116" spans="4:6">
      <c r="D116" s="181"/>
      <c r="E116" s="100"/>
      <c r="F116" s="100"/>
    </row>
    <row r="117" spans="4:6">
      <c r="D117" s="181"/>
      <c r="E117" s="100"/>
      <c r="F117" s="100"/>
    </row>
    <row r="118" spans="4:6">
      <c r="D118" s="181"/>
      <c r="E118" s="100"/>
      <c r="F118" s="100"/>
    </row>
    <row r="119" spans="4:6">
      <c r="D119" s="181"/>
      <c r="E119" s="100"/>
      <c r="F119" s="100"/>
    </row>
    <row r="120" spans="4:6">
      <c r="D120" s="181"/>
      <c r="E120" s="100"/>
      <c r="F120" s="100"/>
    </row>
    <row r="121" spans="4:6">
      <c r="D121" s="181"/>
      <c r="E121" s="100"/>
      <c r="F121" s="100"/>
    </row>
    <row r="122" spans="4:6">
      <c r="D122" s="181"/>
      <c r="E122" s="100"/>
      <c r="F122" s="100"/>
    </row>
    <row r="123" spans="4:6">
      <c r="D123" s="181"/>
      <c r="E123" s="100"/>
      <c r="F123" s="100"/>
    </row>
    <row r="124" spans="4:6">
      <c r="D124" s="181"/>
      <c r="E124" s="100"/>
      <c r="F124" s="100"/>
    </row>
    <row r="125" spans="4:6">
      <c r="D125" s="181"/>
      <c r="E125" s="100"/>
      <c r="F125" s="100"/>
    </row>
    <row r="126" spans="4:6">
      <c r="D126" s="181"/>
      <c r="E126" s="100"/>
      <c r="F126" s="100"/>
    </row>
    <row r="127" spans="4:6">
      <c r="D127" s="181"/>
      <c r="E127" s="100"/>
      <c r="F127" s="100"/>
    </row>
    <row r="128" spans="4:6">
      <c r="D128" s="181"/>
      <c r="E128" s="100"/>
      <c r="F128" s="100"/>
    </row>
    <row r="129" spans="4:6">
      <c r="D129" s="181"/>
      <c r="E129" s="100"/>
      <c r="F129" s="100"/>
    </row>
    <row r="130" spans="4:6">
      <c r="D130" s="181"/>
      <c r="E130" s="100"/>
      <c r="F130" s="100"/>
    </row>
    <row r="131" spans="4:6">
      <c r="D131" s="181"/>
      <c r="E131" s="100"/>
      <c r="F131" s="100"/>
    </row>
    <row r="132" spans="4:6">
      <c r="D132" s="181"/>
      <c r="E132" s="100"/>
      <c r="F132" s="100"/>
    </row>
    <row r="133" spans="4:6">
      <c r="D133" s="181"/>
      <c r="E133" s="100"/>
      <c r="F133" s="100"/>
    </row>
    <row r="134" spans="4:6">
      <c r="D134" s="181"/>
      <c r="E134" s="100"/>
      <c r="F134" s="100"/>
    </row>
    <row r="135" spans="4:6">
      <c r="D135" s="181"/>
      <c r="E135" s="100"/>
      <c r="F135" s="100"/>
    </row>
    <row r="136" spans="4:6">
      <c r="D136" s="181"/>
      <c r="E136" s="100"/>
      <c r="F136" s="100"/>
    </row>
    <row r="137" spans="4:6">
      <c r="D137" s="181"/>
      <c r="E137" s="100"/>
      <c r="F137" s="100"/>
    </row>
    <row r="138" spans="4:6">
      <c r="D138" s="181"/>
      <c r="E138" s="100"/>
      <c r="F138" s="100"/>
    </row>
    <row r="139" spans="4:6">
      <c r="D139" s="181"/>
      <c r="E139" s="100"/>
      <c r="F139" s="100"/>
    </row>
    <row r="140" spans="4:6">
      <c r="D140" s="181"/>
      <c r="E140" s="100"/>
      <c r="F140" s="100"/>
    </row>
    <row r="141" spans="4:6">
      <c r="D141" s="181"/>
      <c r="E141" s="100"/>
      <c r="F141" s="100"/>
    </row>
    <row r="142" spans="4:6">
      <c r="D142" s="181"/>
      <c r="E142" s="100"/>
      <c r="F142" s="100"/>
    </row>
    <row r="143" spans="4:6">
      <c r="D143" s="181"/>
      <c r="E143" s="100"/>
      <c r="F143" s="100"/>
    </row>
    <row r="144" spans="4:6">
      <c r="D144" s="181"/>
      <c r="E144" s="100"/>
      <c r="F144" s="100"/>
    </row>
    <row r="145" spans="4:6">
      <c r="D145" s="181"/>
      <c r="E145" s="100"/>
      <c r="F145" s="100"/>
    </row>
    <row r="146" spans="4:6">
      <c r="D146" s="181"/>
      <c r="E146" s="100"/>
      <c r="F146" s="100"/>
    </row>
    <row r="147" spans="4:6">
      <c r="D147" s="181"/>
      <c r="E147" s="100"/>
      <c r="F147" s="100"/>
    </row>
    <row r="148" spans="4:6">
      <c r="D148" s="181"/>
      <c r="E148" s="100"/>
      <c r="F148" s="100"/>
    </row>
    <row r="149" spans="4:6">
      <c r="D149" s="181"/>
      <c r="E149" s="100"/>
      <c r="F149" s="100"/>
    </row>
    <row r="150" spans="4:6">
      <c r="D150" s="181"/>
      <c r="E150" s="100"/>
      <c r="F150" s="100"/>
    </row>
    <row r="151" spans="4:6">
      <c r="D151" s="181"/>
      <c r="E151" s="100"/>
      <c r="F151" s="100"/>
    </row>
    <row r="152" spans="4:6">
      <c r="D152" s="181"/>
      <c r="E152" s="100"/>
      <c r="F152" s="100"/>
    </row>
    <row r="153" spans="4:6">
      <c r="D153" s="181"/>
      <c r="E153" s="100"/>
      <c r="F153" s="100"/>
    </row>
    <row r="154" spans="4:6">
      <c r="D154" s="181"/>
      <c r="E154" s="100"/>
      <c r="F154" s="100"/>
    </row>
    <row r="155" spans="4:6">
      <c r="D155" s="181"/>
      <c r="E155" s="100"/>
      <c r="F155" s="100"/>
    </row>
    <row r="156" spans="4:6">
      <c r="D156" s="181"/>
      <c r="E156" s="100"/>
      <c r="F156" s="100"/>
    </row>
    <row r="157" spans="4:6">
      <c r="D157" s="181"/>
      <c r="E157" s="100"/>
      <c r="F157" s="100"/>
    </row>
    <row r="158" spans="4:6">
      <c r="D158" s="181"/>
      <c r="E158" s="100"/>
      <c r="F158" s="100"/>
    </row>
    <row r="159" spans="4:6">
      <c r="D159" s="181"/>
      <c r="E159" s="100"/>
      <c r="F159" s="100"/>
    </row>
    <row r="160" spans="4:6">
      <c r="D160" s="181"/>
      <c r="E160" s="100"/>
      <c r="F160" s="100"/>
    </row>
    <row r="161" spans="4:6">
      <c r="D161" s="181"/>
      <c r="E161" s="100"/>
      <c r="F161" s="100"/>
    </row>
    <row r="162" spans="4:6">
      <c r="D162" s="181"/>
      <c r="E162" s="100"/>
      <c r="F162" s="100"/>
    </row>
    <row r="163" spans="4:6">
      <c r="D163" s="181"/>
      <c r="E163" s="100"/>
      <c r="F163" s="100"/>
    </row>
    <row r="164" spans="4:6">
      <c r="D164" s="181"/>
      <c r="E164" s="100"/>
      <c r="F164" s="100"/>
    </row>
    <row r="165" spans="4:6">
      <c r="D165" s="181"/>
      <c r="E165" s="100"/>
      <c r="F165" s="100"/>
    </row>
    <row r="166" spans="4:6">
      <c r="D166" s="181"/>
      <c r="E166" s="100"/>
      <c r="F166" s="100"/>
    </row>
    <row r="167" spans="4:6">
      <c r="D167" s="181"/>
      <c r="E167" s="100"/>
      <c r="F167" s="100"/>
    </row>
    <row r="168" spans="4:6">
      <c r="D168" s="181"/>
      <c r="E168" s="100"/>
      <c r="F168" s="100"/>
    </row>
    <row r="169" spans="4:6">
      <c r="D169" s="181"/>
      <c r="E169" s="100"/>
      <c r="F169" s="100"/>
    </row>
    <row r="170" spans="4:6">
      <c r="D170" s="181"/>
      <c r="E170" s="100"/>
      <c r="F170" s="100"/>
    </row>
    <row r="171" spans="4:6">
      <c r="D171" s="181"/>
      <c r="E171" s="100"/>
      <c r="F171" s="100"/>
    </row>
    <row r="172" spans="4:6">
      <c r="D172" s="181"/>
      <c r="E172" s="100"/>
      <c r="F172" s="100"/>
    </row>
    <row r="173" spans="4:6">
      <c r="D173" s="181"/>
      <c r="E173" s="100"/>
      <c r="F173" s="100"/>
    </row>
    <row r="174" spans="4:6">
      <c r="D174" s="181"/>
      <c r="E174" s="100"/>
      <c r="F174" s="100"/>
    </row>
    <row r="175" spans="4:6">
      <c r="D175" s="181"/>
      <c r="E175" s="100"/>
      <c r="F175" s="100"/>
    </row>
    <row r="176" spans="4:6">
      <c r="D176" s="181"/>
      <c r="E176" s="100"/>
      <c r="F176" s="100"/>
    </row>
    <row r="177" spans="4:6">
      <c r="D177" s="181"/>
      <c r="E177" s="100"/>
      <c r="F177" s="100"/>
    </row>
    <row r="178" spans="4:6">
      <c r="D178" s="181"/>
      <c r="E178" s="100"/>
      <c r="F178" s="100"/>
    </row>
    <row r="179" spans="4:6">
      <c r="D179" s="181"/>
      <c r="E179" s="100"/>
      <c r="F179" s="100"/>
    </row>
    <row r="180" spans="4:6">
      <c r="D180" s="181"/>
      <c r="E180" s="100"/>
      <c r="F180" s="100"/>
    </row>
    <row r="181" spans="4:6">
      <c r="D181" s="181"/>
      <c r="E181" s="100"/>
      <c r="F181" s="100"/>
    </row>
    <row r="182" spans="4:6">
      <c r="D182" s="181"/>
      <c r="E182" s="100"/>
      <c r="F182" s="100"/>
    </row>
    <row r="183" spans="4:6">
      <c r="D183" s="181"/>
      <c r="E183" s="100"/>
      <c r="F183" s="100"/>
    </row>
    <row r="184" spans="4:6">
      <c r="D184" s="181"/>
      <c r="E184" s="100"/>
      <c r="F184" s="100"/>
    </row>
    <row r="185" spans="4:6">
      <c r="D185" s="181"/>
      <c r="E185" s="100"/>
      <c r="F185" s="100"/>
    </row>
    <row r="186" spans="4:6">
      <c r="D186" s="181"/>
      <c r="E186" s="100"/>
      <c r="F186" s="100"/>
    </row>
    <row r="187" spans="4:6">
      <c r="D187" s="181"/>
      <c r="E187" s="100"/>
      <c r="F187" s="100"/>
    </row>
    <row r="188" spans="4:6">
      <c r="D188" s="181"/>
      <c r="E188" s="100"/>
      <c r="F188" s="100"/>
    </row>
    <row r="189" spans="4:6">
      <c r="D189" s="181"/>
      <c r="E189" s="100"/>
      <c r="F189" s="100"/>
    </row>
    <row r="190" spans="4:6">
      <c r="D190" s="181"/>
      <c r="E190" s="100"/>
      <c r="F190" s="100"/>
    </row>
    <row r="191" spans="4:6">
      <c r="D191" s="181"/>
      <c r="E191" s="100"/>
      <c r="F191" s="100"/>
    </row>
    <row r="192" spans="4:6">
      <c r="D192" s="181"/>
      <c r="E192" s="100"/>
      <c r="F192" s="100"/>
    </row>
    <row r="193" spans="4:6">
      <c r="D193" s="181"/>
      <c r="E193" s="100"/>
      <c r="F193" s="100"/>
    </row>
    <row r="194" spans="4:6">
      <c r="D194" s="181"/>
      <c r="E194" s="100"/>
      <c r="F194" s="100"/>
    </row>
    <row r="195" spans="4:6">
      <c r="D195" s="181"/>
      <c r="E195" s="100"/>
      <c r="F195" s="100"/>
    </row>
    <row r="196" spans="4:6">
      <c r="D196" s="181"/>
      <c r="E196" s="100"/>
      <c r="F196" s="100"/>
    </row>
    <row r="197" spans="4:6">
      <c r="D197" s="181"/>
      <c r="E197" s="100"/>
      <c r="F197" s="100"/>
    </row>
    <row r="198" spans="4:6">
      <c r="D198" s="181"/>
      <c r="E198" s="100"/>
      <c r="F198" s="100"/>
    </row>
    <row r="199" spans="4:6">
      <c r="D199" s="181"/>
      <c r="E199" s="100"/>
      <c r="F199" s="100"/>
    </row>
    <row r="200" spans="4:6">
      <c r="D200" s="181"/>
      <c r="E200" s="100"/>
      <c r="F200" s="100"/>
    </row>
    <row r="201" spans="4:6">
      <c r="D201" s="181"/>
      <c r="E201" s="100"/>
      <c r="F201" s="100"/>
    </row>
    <row r="202" spans="4:6">
      <c r="D202" s="181"/>
      <c r="E202" s="100"/>
      <c r="F202" s="100"/>
    </row>
    <row r="203" spans="4:6">
      <c r="D203" s="181"/>
      <c r="E203" s="100"/>
      <c r="F203" s="100"/>
    </row>
    <row r="204" spans="4:6">
      <c r="D204" s="181"/>
      <c r="E204" s="100"/>
      <c r="F204" s="100"/>
    </row>
    <row r="205" spans="4:6">
      <c r="D205" s="181"/>
      <c r="E205" s="100"/>
      <c r="F205" s="100"/>
    </row>
    <row r="206" spans="4:6">
      <c r="D206" s="181"/>
      <c r="E206" s="100"/>
      <c r="F206" s="100"/>
    </row>
    <row r="207" spans="4:6">
      <c r="D207" s="181"/>
      <c r="E207" s="100"/>
      <c r="F207" s="100"/>
    </row>
    <row r="208" spans="4:6">
      <c r="D208" s="181"/>
      <c r="E208" s="100"/>
      <c r="F208" s="100"/>
    </row>
    <row r="209" spans="4:6">
      <c r="D209" s="181"/>
      <c r="E209" s="100"/>
      <c r="F209" s="100"/>
    </row>
    <row r="210" spans="4:6">
      <c r="D210" s="181"/>
      <c r="E210" s="100"/>
      <c r="F210" s="100"/>
    </row>
    <row r="211" spans="4:6">
      <c r="D211" s="181"/>
      <c r="E211" s="100"/>
      <c r="F211" s="100"/>
    </row>
    <row r="212" spans="4:6">
      <c r="D212" s="181"/>
      <c r="E212" s="100"/>
      <c r="F212" s="100"/>
    </row>
    <row r="213" spans="4:6">
      <c r="D213" s="181"/>
      <c r="E213" s="100"/>
      <c r="F213" s="100"/>
    </row>
    <row r="214" spans="4:6">
      <c r="D214" s="181"/>
      <c r="E214" s="100"/>
      <c r="F214" s="100"/>
    </row>
    <row r="215" spans="4:6">
      <c r="D215" s="181"/>
      <c r="E215" s="100"/>
      <c r="F215" s="100"/>
    </row>
    <row r="216" spans="4:6">
      <c r="D216" s="181"/>
      <c r="E216" s="100"/>
      <c r="F216" s="100"/>
    </row>
    <row r="217" spans="4:6">
      <c r="D217" s="181"/>
      <c r="E217" s="100"/>
      <c r="F217" s="100"/>
    </row>
    <row r="218" spans="4:6">
      <c r="D218" s="181"/>
      <c r="E218" s="100"/>
      <c r="F218" s="100"/>
    </row>
    <row r="219" spans="4:6">
      <c r="D219" s="181"/>
      <c r="E219" s="100"/>
      <c r="F219" s="100"/>
    </row>
    <row r="220" spans="4:6">
      <c r="D220" s="181"/>
      <c r="E220" s="100"/>
      <c r="F220" s="100"/>
    </row>
    <row r="221" spans="4:6">
      <c r="D221" s="181"/>
      <c r="E221" s="100"/>
      <c r="F221" s="100"/>
    </row>
    <row r="222" spans="4:6">
      <c r="D222" s="181"/>
      <c r="E222" s="100"/>
      <c r="F222" s="100"/>
    </row>
    <row r="223" spans="4:6">
      <c r="D223" s="181"/>
      <c r="E223" s="100"/>
      <c r="F223" s="100"/>
    </row>
    <row r="224" spans="4:6">
      <c r="D224" s="181"/>
      <c r="E224" s="100"/>
      <c r="F224" s="100"/>
    </row>
    <row r="225" spans="4:6">
      <c r="D225" s="181"/>
      <c r="E225" s="100"/>
      <c r="F225" s="100"/>
    </row>
    <row r="226" spans="4:6">
      <c r="D226" s="181"/>
      <c r="E226" s="100"/>
      <c r="F226" s="100"/>
    </row>
    <row r="227" spans="4:6">
      <c r="D227" s="181"/>
      <c r="E227" s="100"/>
      <c r="F227" s="100"/>
    </row>
    <row r="228" spans="4:6">
      <c r="D228" s="181"/>
      <c r="E228" s="100"/>
      <c r="F228" s="100"/>
    </row>
    <row r="229" spans="4:6">
      <c r="D229" s="181"/>
      <c r="E229" s="100"/>
      <c r="F229" s="100"/>
    </row>
    <row r="230" spans="4:6">
      <c r="D230" s="181"/>
      <c r="E230" s="100"/>
      <c r="F230" s="100"/>
    </row>
    <row r="231" spans="4:6">
      <c r="D231" s="181"/>
      <c r="E231" s="100"/>
      <c r="F231" s="100"/>
    </row>
    <row r="232" spans="4:6">
      <c r="D232" s="181"/>
      <c r="E232" s="100"/>
      <c r="F232" s="100"/>
    </row>
    <row r="233" spans="4:6">
      <c r="D233" s="181"/>
      <c r="E233" s="100"/>
      <c r="F233" s="100"/>
    </row>
    <row r="234" spans="4:6">
      <c r="D234" s="181"/>
      <c r="E234" s="100"/>
      <c r="F234" s="100"/>
    </row>
    <row r="235" spans="4:6">
      <c r="D235" s="181"/>
      <c r="E235" s="100"/>
      <c r="F235" s="100"/>
    </row>
    <row r="236" spans="4:6">
      <c r="D236" s="181"/>
      <c r="E236" s="100"/>
      <c r="F236" s="100"/>
    </row>
    <row r="237" spans="4:6">
      <c r="D237" s="181"/>
      <c r="E237" s="100"/>
      <c r="F237" s="100"/>
    </row>
    <row r="238" spans="4:6">
      <c r="D238" s="181"/>
      <c r="E238" s="100"/>
      <c r="F238" s="100"/>
    </row>
    <row r="239" spans="4:6">
      <c r="D239" s="181"/>
      <c r="E239" s="100"/>
      <c r="F239" s="100"/>
    </row>
    <row r="240" spans="4:6">
      <c r="D240" s="181"/>
      <c r="E240" s="100"/>
      <c r="F240" s="100"/>
    </row>
    <row r="241" spans="4:6">
      <c r="D241" s="181"/>
      <c r="E241" s="100"/>
      <c r="F241" s="100"/>
    </row>
    <row r="242" spans="4:6">
      <c r="D242" s="181"/>
      <c r="E242" s="100"/>
      <c r="F242" s="100"/>
    </row>
    <row r="243" spans="4:6">
      <c r="D243" s="181"/>
      <c r="E243" s="100"/>
      <c r="F243" s="100"/>
    </row>
    <row r="244" spans="4:6">
      <c r="D244" s="181"/>
      <c r="E244" s="100"/>
      <c r="F244" s="100"/>
    </row>
    <row r="245" spans="4:6">
      <c r="D245" s="181"/>
      <c r="E245" s="100"/>
      <c r="F245" s="100"/>
    </row>
    <row r="246" spans="4:6">
      <c r="D246" s="181"/>
      <c r="E246" s="100"/>
      <c r="F246" s="100"/>
    </row>
    <row r="247" spans="4:6">
      <c r="D247" s="181"/>
      <c r="E247" s="100"/>
      <c r="F247" s="100"/>
    </row>
    <row r="248" spans="4:6">
      <c r="D248" s="181"/>
      <c r="E248" s="100"/>
      <c r="F248" s="100"/>
    </row>
    <row r="249" spans="4:6">
      <c r="D249" s="181"/>
      <c r="E249" s="100"/>
      <c r="F249" s="100"/>
    </row>
    <row r="250" spans="4:6">
      <c r="D250" s="181"/>
      <c r="E250" s="100"/>
      <c r="F250" s="100"/>
    </row>
    <row r="251" spans="4:6">
      <c r="D251" s="181"/>
      <c r="E251" s="100"/>
      <c r="F251" s="100"/>
    </row>
    <row r="252" spans="4:6">
      <c r="D252" s="181"/>
      <c r="E252" s="100"/>
      <c r="F252" s="100"/>
    </row>
    <row r="253" spans="4:6">
      <c r="D253" s="181"/>
      <c r="E253" s="100"/>
      <c r="F253" s="100"/>
    </row>
    <row r="254" spans="4:6">
      <c r="D254" s="181"/>
      <c r="E254" s="100"/>
      <c r="F254" s="100"/>
    </row>
    <row r="255" spans="4:6">
      <c r="D255" s="181"/>
      <c r="E255" s="100"/>
      <c r="F255" s="100"/>
    </row>
    <row r="256" spans="4:6">
      <c r="D256" s="181"/>
      <c r="E256" s="100"/>
      <c r="F256" s="100"/>
    </row>
    <row r="257" spans="4:6">
      <c r="D257" s="181"/>
      <c r="E257" s="100"/>
      <c r="F257" s="100"/>
    </row>
    <row r="258" spans="4:6">
      <c r="D258" s="181"/>
      <c r="E258" s="100"/>
      <c r="F258" s="100"/>
    </row>
    <row r="259" spans="4:6">
      <c r="D259" s="181"/>
      <c r="E259" s="100"/>
      <c r="F259" s="100"/>
    </row>
    <row r="260" spans="4:6">
      <c r="D260" s="181"/>
      <c r="E260" s="100"/>
      <c r="F260" s="100"/>
    </row>
    <row r="261" spans="4:6">
      <c r="D261" s="181"/>
      <c r="E261" s="100"/>
      <c r="F261" s="100"/>
    </row>
    <row r="262" spans="4:6">
      <c r="D262" s="181"/>
      <c r="E262" s="100"/>
      <c r="F262" s="100"/>
    </row>
    <row r="263" spans="4:6">
      <c r="D263" s="181"/>
      <c r="E263" s="100"/>
      <c r="F263" s="100"/>
    </row>
    <row r="264" spans="4:6">
      <c r="D264" s="181"/>
      <c r="E264" s="100"/>
      <c r="F264" s="100"/>
    </row>
    <row r="265" spans="4:6">
      <c r="D265" s="181"/>
      <c r="E265" s="100"/>
      <c r="F265" s="100"/>
    </row>
    <row r="266" spans="4:6">
      <c r="D266" s="181"/>
      <c r="E266" s="100"/>
      <c r="F266" s="100"/>
    </row>
    <row r="267" spans="4:6">
      <c r="D267" s="181"/>
      <c r="E267" s="100"/>
      <c r="F267" s="100"/>
    </row>
    <row r="268" spans="4:6">
      <c r="D268" s="181"/>
      <c r="E268" s="100"/>
      <c r="F268" s="100"/>
    </row>
    <row r="269" spans="4:6">
      <c r="D269" s="181"/>
      <c r="E269" s="100"/>
      <c r="F269" s="100"/>
    </row>
    <row r="270" spans="4:6">
      <c r="D270" s="181"/>
      <c r="E270" s="100"/>
      <c r="F270" s="100"/>
    </row>
    <row r="271" spans="4:6">
      <c r="D271" s="181"/>
      <c r="E271" s="100"/>
      <c r="F271" s="100"/>
    </row>
    <row r="272" spans="4:6">
      <c r="D272" s="181"/>
      <c r="E272" s="100"/>
      <c r="F272" s="100"/>
    </row>
    <row r="273" spans="4:6">
      <c r="D273" s="181"/>
      <c r="E273" s="100"/>
      <c r="F273" s="100"/>
    </row>
    <row r="274" spans="4:6">
      <c r="D274" s="181"/>
      <c r="E274" s="100"/>
      <c r="F274" s="100"/>
    </row>
    <row r="275" spans="4:6">
      <c r="D275" s="181"/>
      <c r="E275" s="100"/>
      <c r="F275" s="100"/>
    </row>
    <row r="276" spans="4:6">
      <c r="D276" s="181"/>
      <c r="E276" s="100"/>
      <c r="F276" s="100"/>
    </row>
    <row r="277" spans="4:6">
      <c r="D277" s="181"/>
      <c r="E277" s="100"/>
      <c r="F277" s="100"/>
    </row>
    <row r="278" spans="4:6">
      <c r="D278" s="181"/>
      <c r="E278" s="100"/>
      <c r="F278" s="100"/>
    </row>
    <row r="279" spans="4:6">
      <c r="D279" s="181"/>
      <c r="E279" s="100"/>
      <c r="F279" s="100"/>
    </row>
    <row r="280" spans="4:6">
      <c r="D280" s="181"/>
      <c r="E280" s="100"/>
      <c r="F280" s="100"/>
    </row>
    <row r="281" spans="4:6">
      <c r="D281" s="181"/>
      <c r="E281" s="100"/>
      <c r="F281" s="100"/>
    </row>
    <row r="282" spans="4:6">
      <c r="D282" s="181"/>
      <c r="E282" s="100"/>
      <c r="F282" s="100"/>
    </row>
    <row r="283" spans="4:6">
      <c r="D283" s="181"/>
      <c r="E283" s="100"/>
      <c r="F283" s="100"/>
    </row>
    <row r="284" spans="4:6">
      <c r="D284" s="181"/>
      <c r="E284" s="100"/>
      <c r="F284" s="100"/>
    </row>
    <row r="285" spans="4:6">
      <c r="D285" s="181"/>
      <c r="E285" s="100"/>
      <c r="F285" s="100"/>
    </row>
    <row r="286" spans="4:6">
      <c r="D286" s="181"/>
      <c r="E286" s="100"/>
      <c r="F286" s="100"/>
    </row>
    <row r="287" spans="4:6">
      <c r="D287" s="181"/>
      <c r="E287" s="100"/>
      <c r="F287" s="100"/>
    </row>
    <row r="288" spans="4:6">
      <c r="D288" s="181"/>
      <c r="E288" s="100"/>
      <c r="F288" s="100"/>
    </row>
    <row r="289" spans="4:6">
      <c r="D289" s="181"/>
      <c r="E289" s="100"/>
      <c r="F289" s="100"/>
    </row>
    <row r="290" spans="4:6">
      <c r="D290" s="181"/>
      <c r="E290" s="100"/>
      <c r="F290" s="100"/>
    </row>
    <row r="291" spans="4:6">
      <c r="D291" s="181"/>
      <c r="E291" s="100"/>
      <c r="F291" s="100"/>
    </row>
    <row r="292" spans="4:6">
      <c r="D292" s="181"/>
      <c r="E292" s="100"/>
      <c r="F292" s="100"/>
    </row>
    <row r="293" spans="4:6">
      <c r="D293" s="181"/>
      <c r="E293" s="100"/>
      <c r="F293" s="100"/>
    </row>
    <row r="294" spans="4:6">
      <c r="D294" s="181"/>
      <c r="E294" s="100"/>
      <c r="F294" s="100"/>
    </row>
    <row r="295" spans="4:6">
      <c r="D295" s="181"/>
      <c r="E295" s="100"/>
      <c r="F295" s="100"/>
    </row>
    <row r="296" spans="4:6">
      <c r="D296" s="181"/>
      <c r="E296" s="100"/>
      <c r="F296" s="100"/>
    </row>
    <row r="297" spans="4:6">
      <c r="D297" s="181"/>
      <c r="E297" s="100"/>
      <c r="F297" s="100"/>
    </row>
    <row r="298" spans="4:6">
      <c r="D298" s="181"/>
      <c r="E298" s="100"/>
      <c r="F298" s="100"/>
    </row>
    <row r="299" spans="4:6">
      <c r="D299" s="181"/>
      <c r="E299" s="100"/>
      <c r="F299" s="100"/>
    </row>
    <row r="300" spans="4:6">
      <c r="D300" s="181"/>
      <c r="E300" s="100"/>
      <c r="F300" s="100"/>
    </row>
    <row r="301" spans="4:6">
      <c r="D301" s="181"/>
      <c r="E301" s="100"/>
      <c r="F301" s="100"/>
    </row>
    <row r="302" spans="4:6">
      <c r="D302" s="181"/>
      <c r="E302" s="100"/>
      <c r="F302" s="100"/>
    </row>
    <row r="303" spans="4:6">
      <c r="D303" s="181"/>
      <c r="E303" s="100"/>
      <c r="F303" s="100"/>
    </row>
    <row r="304" spans="4:6">
      <c r="D304" s="181"/>
      <c r="E304" s="100"/>
      <c r="F304" s="100"/>
    </row>
    <row r="305" spans="4:6">
      <c r="D305" s="181"/>
      <c r="E305" s="100"/>
      <c r="F305" s="100"/>
    </row>
    <row r="306" spans="4:6">
      <c r="D306" s="181"/>
      <c r="E306" s="100"/>
      <c r="F306" s="100"/>
    </row>
    <row r="307" spans="4:6">
      <c r="D307" s="181"/>
      <c r="E307" s="100"/>
      <c r="F307" s="100"/>
    </row>
    <row r="308" spans="4:6">
      <c r="D308" s="181"/>
      <c r="E308" s="100"/>
      <c r="F308" s="100"/>
    </row>
    <row r="309" spans="4:6">
      <c r="D309" s="181"/>
      <c r="E309" s="100"/>
      <c r="F309" s="100"/>
    </row>
    <row r="310" spans="4:6">
      <c r="D310" s="181"/>
      <c r="E310" s="100"/>
      <c r="F310" s="100"/>
    </row>
    <row r="311" spans="4:6">
      <c r="D311" s="181"/>
      <c r="E311" s="100"/>
      <c r="F311" s="100"/>
    </row>
    <row r="312" spans="4:6">
      <c r="D312" s="181"/>
      <c r="E312" s="100"/>
      <c r="F312" s="100"/>
    </row>
    <row r="313" spans="4:6">
      <c r="D313" s="181"/>
      <c r="E313" s="100"/>
      <c r="F313" s="100"/>
    </row>
    <row r="314" spans="4:6">
      <c r="D314" s="181"/>
      <c r="E314" s="100"/>
      <c r="F314" s="100"/>
    </row>
    <row r="315" spans="4:6">
      <c r="D315" s="181"/>
      <c r="E315" s="100"/>
      <c r="F315" s="100"/>
    </row>
    <row r="316" spans="4:6">
      <c r="D316" s="181"/>
      <c r="E316" s="100"/>
      <c r="F316" s="100"/>
    </row>
    <row r="317" spans="4:6">
      <c r="D317" s="181"/>
      <c r="E317" s="100"/>
      <c r="F317" s="100"/>
    </row>
    <row r="318" spans="4:6">
      <c r="D318" s="181"/>
      <c r="E318" s="100"/>
      <c r="F318" s="100"/>
    </row>
    <row r="319" spans="4:6">
      <c r="D319" s="181"/>
      <c r="E319" s="100"/>
      <c r="F319" s="100"/>
    </row>
    <row r="320" spans="4:6">
      <c r="D320" s="181"/>
      <c r="E320" s="100"/>
      <c r="F320" s="100"/>
    </row>
    <row r="321" spans="4:6">
      <c r="D321" s="181"/>
      <c r="E321" s="100"/>
      <c r="F321" s="100"/>
    </row>
    <row r="322" spans="4:6">
      <c r="D322" s="181"/>
      <c r="E322" s="100"/>
      <c r="F322" s="100"/>
    </row>
    <row r="323" spans="4:6">
      <c r="D323" s="181"/>
      <c r="E323" s="100"/>
      <c r="F323" s="100"/>
    </row>
    <row r="324" spans="4:6">
      <c r="D324" s="181"/>
      <c r="E324" s="100"/>
      <c r="F324" s="100"/>
    </row>
    <row r="325" spans="4:6">
      <c r="D325" s="181"/>
      <c r="E325" s="100"/>
      <c r="F325" s="100"/>
    </row>
    <row r="326" spans="4:6">
      <c r="D326" s="181"/>
      <c r="E326" s="100"/>
      <c r="F326" s="100"/>
    </row>
    <row r="327" spans="4:6">
      <c r="D327" s="181"/>
      <c r="E327" s="100"/>
      <c r="F327" s="100"/>
    </row>
    <row r="328" spans="4:6">
      <c r="D328" s="181"/>
      <c r="E328" s="100"/>
      <c r="F328" s="100"/>
    </row>
    <row r="329" spans="4:6">
      <c r="D329" s="181"/>
      <c r="E329" s="100"/>
      <c r="F329" s="100"/>
    </row>
    <row r="330" spans="4:6">
      <c r="D330" s="181"/>
      <c r="E330" s="100"/>
      <c r="F330" s="100"/>
    </row>
    <row r="331" spans="4:6">
      <c r="D331" s="181"/>
      <c r="E331" s="100"/>
      <c r="F331" s="100"/>
    </row>
    <row r="332" spans="4:6">
      <c r="D332" s="181"/>
      <c r="E332" s="100"/>
      <c r="F332" s="100"/>
    </row>
    <row r="333" spans="4:6">
      <c r="D333" s="181"/>
      <c r="E333" s="100"/>
      <c r="F333" s="100"/>
    </row>
    <row r="334" spans="4:6">
      <c r="D334" s="181"/>
      <c r="E334" s="100"/>
      <c r="F334" s="100"/>
    </row>
    <row r="335" spans="4:6">
      <c r="D335" s="181"/>
      <c r="E335" s="100"/>
      <c r="F335" s="100"/>
    </row>
    <row r="336" spans="4:6">
      <c r="D336" s="181"/>
      <c r="E336" s="100"/>
      <c r="F336" s="100"/>
    </row>
    <row r="337" spans="4:6">
      <c r="D337" s="181"/>
      <c r="E337" s="100"/>
      <c r="F337" s="100"/>
    </row>
    <row r="338" spans="4:6">
      <c r="D338" s="181"/>
      <c r="E338" s="100"/>
      <c r="F338" s="100"/>
    </row>
    <row r="339" spans="4:6">
      <c r="D339" s="181"/>
      <c r="E339" s="100"/>
      <c r="F339" s="100"/>
    </row>
    <row r="340" spans="4:6">
      <c r="D340" s="181"/>
      <c r="E340" s="100"/>
      <c r="F340" s="100"/>
    </row>
    <row r="341" spans="4:6">
      <c r="D341" s="181"/>
      <c r="E341" s="100"/>
      <c r="F341" s="100"/>
    </row>
    <row r="342" spans="4:6">
      <c r="D342" s="181"/>
      <c r="E342" s="100"/>
      <c r="F342" s="100"/>
    </row>
    <row r="343" spans="4:6">
      <c r="D343" s="181"/>
      <c r="E343" s="100"/>
      <c r="F343" s="100"/>
    </row>
    <row r="344" spans="4:6">
      <c r="D344" s="181"/>
      <c r="E344" s="100"/>
      <c r="F344" s="100"/>
    </row>
    <row r="345" spans="4:6">
      <c r="D345" s="181"/>
      <c r="E345" s="100"/>
      <c r="F345" s="100"/>
    </row>
    <row r="346" spans="4:6">
      <c r="D346" s="181"/>
      <c r="E346" s="100"/>
      <c r="F346" s="100"/>
    </row>
    <row r="347" spans="4:6">
      <c r="D347" s="181"/>
      <c r="E347" s="100"/>
      <c r="F347" s="100"/>
    </row>
    <row r="348" spans="4:6">
      <c r="D348" s="181"/>
      <c r="E348" s="100"/>
      <c r="F348" s="100"/>
    </row>
    <row r="349" spans="4:6">
      <c r="D349" s="181"/>
      <c r="E349" s="100"/>
      <c r="F349" s="100"/>
    </row>
    <row r="350" spans="4:6">
      <c r="D350" s="181"/>
      <c r="E350" s="100"/>
      <c r="F350" s="100"/>
    </row>
    <row r="351" spans="4:6">
      <c r="D351" s="181"/>
      <c r="E351" s="100"/>
      <c r="F351" s="100"/>
    </row>
    <row r="352" spans="4:6">
      <c r="D352" s="181"/>
      <c r="E352" s="100"/>
      <c r="F352" s="100"/>
    </row>
    <row r="353" spans="4:6">
      <c r="D353" s="181"/>
      <c r="E353" s="100"/>
      <c r="F353" s="100"/>
    </row>
    <row r="354" spans="4:6">
      <c r="D354" s="181"/>
      <c r="E354" s="100"/>
      <c r="F354" s="100"/>
    </row>
    <row r="355" spans="4:6">
      <c r="D355" s="181"/>
      <c r="E355" s="100"/>
      <c r="F355" s="100"/>
    </row>
    <row r="356" spans="4:6">
      <c r="D356" s="181"/>
      <c r="E356" s="100"/>
      <c r="F356" s="100"/>
    </row>
    <row r="357" spans="4:6">
      <c r="D357" s="181"/>
      <c r="E357" s="100"/>
      <c r="F357" s="100"/>
    </row>
    <row r="358" spans="4:6">
      <c r="D358" s="181"/>
      <c r="E358" s="100"/>
      <c r="F358" s="100"/>
    </row>
    <row r="359" spans="4:6">
      <c r="D359" s="181"/>
      <c r="E359" s="100"/>
      <c r="F359" s="100"/>
    </row>
    <row r="360" spans="4:6">
      <c r="D360" s="181"/>
      <c r="E360" s="100"/>
      <c r="F360" s="100"/>
    </row>
    <row r="361" spans="4:6">
      <c r="D361" s="181"/>
      <c r="E361" s="100"/>
      <c r="F361" s="100"/>
    </row>
    <row r="362" spans="4:6">
      <c r="D362" s="181"/>
      <c r="E362" s="100"/>
      <c r="F362" s="100"/>
    </row>
    <row r="363" spans="4:6">
      <c r="D363" s="181"/>
      <c r="E363" s="100"/>
      <c r="F363" s="100"/>
    </row>
    <row r="364" spans="4:6">
      <c r="D364" s="181"/>
      <c r="E364" s="100"/>
      <c r="F364" s="100"/>
    </row>
    <row r="365" spans="4:6">
      <c r="D365" s="181"/>
      <c r="E365" s="100"/>
      <c r="F365" s="100"/>
    </row>
    <row r="366" spans="4:6">
      <c r="D366" s="181"/>
      <c r="E366" s="100"/>
      <c r="F366" s="100"/>
    </row>
    <row r="367" spans="4:6">
      <c r="D367" s="181"/>
      <c r="E367" s="100"/>
      <c r="F367" s="100"/>
    </row>
    <row r="368" spans="4:6">
      <c r="D368" s="181"/>
      <c r="E368" s="100"/>
      <c r="F368" s="100"/>
    </row>
    <row r="369" spans="4:6">
      <c r="D369" s="181"/>
      <c r="E369" s="100"/>
      <c r="F369" s="100"/>
    </row>
    <row r="370" spans="4:6">
      <c r="D370" s="181"/>
      <c r="E370" s="100"/>
      <c r="F370" s="100"/>
    </row>
    <row r="371" spans="4:6">
      <c r="D371" s="181"/>
      <c r="E371" s="100"/>
      <c r="F371" s="100"/>
    </row>
    <row r="372" spans="4:6">
      <c r="D372" s="181"/>
      <c r="E372" s="100"/>
      <c r="F372" s="100"/>
    </row>
    <row r="373" spans="4:6">
      <c r="D373" s="181"/>
      <c r="E373" s="100"/>
      <c r="F373" s="100"/>
    </row>
    <row r="374" spans="4:6">
      <c r="D374" s="181"/>
      <c r="E374" s="100"/>
      <c r="F374" s="100"/>
    </row>
    <row r="375" spans="4:6">
      <c r="D375" s="181"/>
      <c r="E375" s="100"/>
      <c r="F375" s="100"/>
    </row>
    <row r="376" spans="4:6">
      <c r="D376" s="181"/>
      <c r="E376" s="100"/>
      <c r="F376" s="100"/>
    </row>
    <row r="377" spans="4:6">
      <c r="D377" s="181"/>
      <c r="E377" s="100"/>
      <c r="F377" s="100"/>
    </row>
    <row r="378" spans="4:6">
      <c r="D378" s="181"/>
      <c r="E378" s="100"/>
      <c r="F378" s="100"/>
    </row>
    <row r="379" spans="4:6">
      <c r="D379" s="181"/>
      <c r="E379" s="100"/>
      <c r="F379" s="100"/>
    </row>
    <row r="380" spans="4:6">
      <c r="D380" s="181"/>
      <c r="E380" s="100"/>
      <c r="F380" s="100"/>
    </row>
    <row r="381" spans="4:6">
      <c r="D381" s="181"/>
      <c r="E381" s="100"/>
      <c r="F381" s="100"/>
    </row>
    <row r="382" spans="4:6">
      <c r="D382" s="181"/>
      <c r="E382" s="100"/>
      <c r="F382" s="100"/>
    </row>
    <row r="383" spans="4:6">
      <c r="D383" s="181"/>
      <c r="E383" s="100"/>
      <c r="F383" s="100"/>
    </row>
    <row r="384" spans="4:6">
      <c r="D384" s="181"/>
      <c r="E384" s="100"/>
      <c r="F384" s="100"/>
    </row>
    <row r="385" spans="4:6">
      <c r="D385" s="181"/>
      <c r="E385" s="100"/>
      <c r="F385" s="100"/>
    </row>
    <row r="386" spans="4:6">
      <c r="D386" s="181"/>
      <c r="E386" s="100"/>
      <c r="F386" s="100"/>
    </row>
    <row r="387" spans="4:6">
      <c r="D387" s="181"/>
      <c r="E387" s="100"/>
      <c r="F387" s="100"/>
    </row>
    <row r="388" spans="4:6">
      <c r="D388" s="181"/>
      <c r="E388" s="100"/>
      <c r="F388" s="100"/>
    </row>
    <row r="389" spans="4:6">
      <c r="D389" s="181"/>
      <c r="E389" s="100"/>
      <c r="F389" s="100"/>
    </row>
    <row r="390" spans="4:6">
      <c r="D390" s="181"/>
      <c r="E390" s="100"/>
      <c r="F390" s="100"/>
    </row>
    <row r="391" spans="4:6">
      <c r="D391" s="181"/>
      <c r="E391" s="100"/>
      <c r="F391" s="100"/>
    </row>
    <row r="392" spans="4:6">
      <c r="D392" s="181"/>
      <c r="E392" s="100"/>
      <c r="F392" s="100"/>
    </row>
    <row r="393" spans="4:6">
      <c r="D393" s="181"/>
      <c r="E393" s="100"/>
      <c r="F393" s="100"/>
    </row>
    <row r="394" spans="4:6">
      <c r="D394" s="181"/>
      <c r="E394" s="100"/>
      <c r="F394" s="100"/>
    </row>
    <row r="395" spans="4:6">
      <c r="D395" s="181"/>
      <c r="E395" s="100"/>
      <c r="F395" s="100"/>
    </row>
    <row r="396" spans="4:6">
      <c r="D396" s="181"/>
      <c r="E396" s="100"/>
      <c r="F396" s="100"/>
    </row>
    <row r="397" spans="4:6">
      <c r="D397" s="181"/>
      <c r="E397" s="100"/>
      <c r="F397" s="100"/>
    </row>
    <row r="398" spans="4:6">
      <c r="D398" s="181"/>
      <c r="E398" s="100"/>
      <c r="F398" s="100"/>
    </row>
    <row r="399" spans="4:6">
      <c r="D399" s="181"/>
      <c r="E399" s="100"/>
      <c r="F399" s="100"/>
    </row>
    <row r="400" spans="4:6">
      <c r="D400" s="181"/>
      <c r="E400" s="100"/>
      <c r="F400" s="100"/>
    </row>
    <row r="401" spans="4:6">
      <c r="D401" s="181"/>
      <c r="E401" s="100"/>
      <c r="F401" s="100"/>
    </row>
    <row r="402" spans="4:6">
      <c r="D402" s="181"/>
      <c r="E402" s="100"/>
      <c r="F402" s="100"/>
    </row>
    <row r="403" spans="4:6">
      <c r="D403" s="181"/>
      <c r="E403" s="100"/>
      <c r="F403" s="100"/>
    </row>
    <row r="404" spans="4:6">
      <c r="D404" s="181"/>
      <c r="E404" s="100"/>
      <c r="F404" s="100"/>
    </row>
    <row r="405" spans="4:6">
      <c r="D405" s="181"/>
      <c r="E405" s="100"/>
      <c r="F405" s="100"/>
    </row>
    <row r="406" spans="4:6">
      <c r="D406" s="181"/>
      <c r="E406" s="100"/>
      <c r="F406" s="100"/>
    </row>
    <row r="407" spans="4:6">
      <c r="D407" s="181"/>
      <c r="E407" s="100"/>
      <c r="F407" s="100"/>
    </row>
    <row r="408" spans="4:6">
      <c r="D408" s="181"/>
      <c r="E408" s="100"/>
      <c r="F408" s="100"/>
    </row>
    <row r="409" spans="4:6">
      <c r="D409" s="181"/>
      <c r="E409" s="100"/>
      <c r="F409" s="100"/>
    </row>
    <row r="410" spans="4:6">
      <c r="D410" s="181"/>
      <c r="E410" s="100"/>
      <c r="F410" s="100"/>
    </row>
    <row r="411" spans="4:6">
      <c r="D411" s="181"/>
      <c r="E411" s="100"/>
      <c r="F411" s="100"/>
    </row>
    <row r="412" spans="4:6">
      <c r="D412" s="181"/>
      <c r="E412" s="100"/>
      <c r="F412" s="100"/>
    </row>
    <row r="413" spans="4:6">
      <c r="D413" s="181"/>
      <c r="E413" s="100"/>
      <c r="F413" s="100"/>
    </row>
    <row r="414" spans="4:6">
      <c r="D414" s="181"/>
      <c r="E414" s="100"/>
      <c r="F414" s="100"/>
    </row>
    <row r="415" spans="4:6">
      <c r="D415" s="181"/>
      <c r="E415" s="100"/>
      <c r="F415" s="100"/>
    </row>
    <row r="416" spans="4:6">
      <c r="D416" s="181"/>
      <c r="E416" s="100"/>
      <c r="F416" s="100"/>
    </row>
    <row r="417" spans="4:6">
      <c r="D417" s="181"/>
      <c r="E417" s="100"/>
      <c r="F417" s="100"/>
    </row>
    <row r="418" spans="4:6">
      <c r="D418" s="181"/>
      <c r="E418" s="100"/>
      <c r="F418" s="100"/>
    </row>
    <row r="419" spans="4:6">
      <c r="D419" s="181"/>
      <c r="E419" s="100"/>
      <c r="F419" s="100"/>
    </row>
    <row r="420" spans="4:6">
      <c r="D420" s="181"/>
      <c r="E420" s="100"/>
      <c r="F420" s="100"/>
    </row>
    <row r="421" spans="4:6">
      <c r="D421" s="181"/>
      <c r="E421" s="100"/>
      <c r="F421" s="100"/>
    </row>
    <row r="422" spans="4:6">
      <c r="D422" s="181"/>
      <c r="E422" s="100"/>
      <c r="F422" s="100"/>
    </row>
    <row r="423" spans="4:6">
      <c r="D423" s="181"/>
      <c r="E423" s="100"/>
      <c r="F423" s="100"/>
    </row>
    <row r="424" spans="4:6">
      <c r="D424" s="181"/>
      <c r="E424" s="100"/>
      <c r="F424" s="100"/>
    </row>
    <row r="425" spans="4:6">
      <c r="D425" s="181"/>
      <c r="E425" s="100"/>
      <c r="F425" s="100"/>
    </row>
    <row r="426" spans="4:6">
      <c r="D426" s="181"/>
      <c r="E426" s="100"/>
      <c r="F426" s="100"/>
    </row>
    <row r="427" spans="4:6">
      <c r="D427" s="181"/>
      <c r="E427" s="100"/>
      <c r="F427" s="100"/>
    </row>
    <row r="428" spans="4:6">
      <c r="D428" s="181"/>
      <c r="E428" s="100"/>
      <c r="F428" s="100"/>
    </row>
    <row r="429" spans="4:6">
      <c r="D429" s="181"/>
      <c r="E429" s="100"/>
      <c r="F429" s="100"/>
    </row>
    <row r="430" spans="4:6">
      <c r="D430" s="181"/>
      <c r="E430" s="100"/>
      <c r="F430" s="100"/>
    </row>
    <row r="431" spans="4:6">
      <c r="D431" s="181"/>
      <c r="E431" s="100"/>
      <c r="F431" s="100"/>
    </row>
    <row r="432" spans="4:6">
      <c r="D432" s="181"/>
      <c r="E432" s="100"/>
      <c r="F432" s="100"/>
    </row>
    <row r="433" spans="4:6">
      <c r="D433" s="181"/>
      <c r="E433" s="100"/>
      <c r="F433" s="100"/>
    </row>
    <row r="434" spans="4:6">
      <c r="D434" s="181"/>
      <c r="E434" s="100"/>
      <c r="F434" s="100"/>
    </row>
    <row r="435" spans="4:6">
      <c r="D435" s="181"/>
      <c r="E435" s="100"/>
      <c r="F435" s="100"/>
    </row>
    <row r="436" spans="4:6">
      <c r="D436" s="181"/>
      <c r="E436" s="100"/>
      <c r="F436" s="100"/>
    </row>
    <row r="437" spans="4:6">
      <c r="D437" s="181"/>
      <c r="E437" s="100"/>
      <c r="F437" s="100"/>
    </row>
    <row r="438" spans="4:6">
      <c r="D438" s="181"/>
      <c r="E438" s="100"/>
      <c r="F438" s="100"/>
    </row>
    <row r="439" spans="4:6">
      <c r="D439" s="181"/>
      <c r="E439" s="100"/>
      <c r="F439" s="100"/>
    </row>
    <row r="440" spans="4:6">
      <c r="D440" s="181"/>
      <c r="E440" s="100"/>
      <c r="F440" s="100"/>
    </row>
    <row r="441" spans="4:6">
      <c r="D441" s="181"/>
      <c r="E441" s="100"/>
      <c r="F441" s="100"/>
    </row>
    <row r="442" spans="4:6">
      <c r="D442" s="181"/>
      <c r="E442" s="100"/>
      <c r="F442" s="100"/>
    </row>
    <row r="443" spans="4:6">
      <c r="D443" s="181"/>
      <c r="E443" s="100"/>
      <c r="F443" s="100"/>
    </row>
    <row r="444" spans="4:6">
      <c r="D444" s="181"/>
      <c r="E444" s="100"/>
      <c r="F444" s="100"/>
    </row>
    <row r="445" spans="4:6">
      <c r="D445" s="181"/>
      <c r="E445" s="100"/>
      <c r="F445" s="100"/>
    </row>
    <row r="446" spans="4:6">
      <c r="D446" s="181"/>
      <c r="E446" s="100"/>
      <c r="F446" s="100"/>
    </row>
    <row r="447" spans="4:6">
      <c r="D447" s="181"/>
      <c r="E447" s="100"/>
      <c r="F447" s="100"/>
    </row>
    <row r="448" spans="4:6">
      <c r="D448" s="181"/>
      <c r="E448" s="100"/>
      <c r="F448" s="100"/>
    </row>
    <row r="449" spans="4:6">
      <c r="D449" s="181"/>
      <c r="E449" s="100"/>
      <c r="F449" s="100"/>
    </row>
    <row r="450" spans="4:6">
      <c r="D450" s="181"/>
      <c r="E450" s="100"/>
      <c r="F450" s="100"/>
    </row>
    <row r="451" spans="4:6">
      <c r="D451" s="181"/>
      <c r="E451" s="100"/>
      <c r="F451" s="100"/>
    </row>
    <row r="452" spans="4:6">
      <c r="D452" s="181"/>
      <c r="E452" s="100"/>
      <c r="F452" s="100"/>
    </row>
    <row r="453" spans="4:6">
      <c r="D453" s="181"/>
      <c r="E453" s="100"/>
      <c r="F453" s="100"/>
    </row>
    <row r="454" spans="4:6">
      <c r="D454" s="181"/>
      <c r="E454" s="100"/>
      <c r="F454" s="100"/>
    </row>
    <row r="455" spans="4:6">
      <c r="D455" s="181"/>
      <c r="E455" s="100"/>
      <c r="F455" s="100"/>
    </row>
    <row r="456" spans="4:6">
      <c r="D456" s="181"/>
      <c r="E456" s="100"/>
      <c r="F456" s="100"/>
    </row>
    <row r="457" spans="4:6">
      <c r="D457" s="181"/>
      <c r="E457" s="100"/>
      <c r="F457" s="100"/>
    </row>
    <row r="458" spans="4:6">
      <c r="D458" s="181"/>
      <c r="E458" s="100"/>
      <c r="F458" s="100"/>
    </row>
    <row r="459" spans="4:6">
      <c r="D459" s="181"/>
      <c r="E459" s="100"/>
      <c r="F459" s="100"/>
    </row>
    <row r="460" spans="4:6">
      <c r="D460" s="181"/>
      <c r="E460" s="100"/>
      <c r="F460" s="100"/>
    </row>
    <row r="461" spans="4:6">
      <c r="D461" s="181"/>
      <c r="E461" s="100"/>
      <c r="F461" s="100"/>
    </row>
    <row r="462" spans="4:6">
      <c r="D462" s="181"/>
      <c r="E462" s="100"/>
      <c r="F462" s="100"/>
    </row>
    <row r="463" spans="4:6">
      <c r="D463" s="181"/>
      <c r="E463" s="100"/>
      <c r="F463" s="100"/>
    </row>
    <row r="464" spans="4:6">
      <c r="D464" s="181"/>
      <c r="E464" s="100"/>
      <c r="F464" s="100"/>
    </row>
    <row r="465" spans="4:6">
      <c r="D465" s="181"/>
      <c r="E465" s="100"/>
      <c r="F465" s="100"/>
    </row>
    <row r="466" spans="4:6">
      <c r="D466" s="181"/>
      <c r="E466" s="100"/>
      <c r="F466" s="100"/>
    </row>
    <row r="467" spans="4:6">
      <c r="D467" s="181"/>
      <c r="E467" s="100"/>
      <c r="F467" s="100"/>
    </row>
    <row r="468" spans="4:6">
      <c r="D468" s="181"/>
      <c r="E468" s="100"/>
      <c r="F468" s="100"/>
    </row>
    <row r="469" spans="4:6">
      <c r="D469" s="181"/>
      <c r="E469" s="100"/>
      <c r="F469" s="100"/>
    </row>
    <row r="470" spans="4:6">
      <c r="D470" s="181"/>
      <c r="E470" s="100"/>
      <c r="F470" s="100"/>
    </row>
    <row r="471" spans="4:6">
      <c r="D471" s="181"/>
      <c r="E471" s="100"/>
      <c r="F471" s="100"/>
    </row>
    <row r="472" spans="4:6">
      <c r="D472" s="181"/>
      <c r="E472" s="100"/>
      <c r="F472" s="100"/>
    </row>
    <row r="473" spans="4:6">
      <c r="D473" s="181"/>
      <c r="E473" s="100"/>
      <c r="F473" s="100"/>
    </row>
    <row r="474" spans="4:6">
      <c r="D474" s="181"/>
      <c r="E474" s="100"/>
      <c r="F474" s="100"/>
    </row>
    <row r="475" spans="4:6">
      <c r="D475" s="181"/>
      <c r="E475" s="100"/>
      <c r="F475" s="100"/>
    </row>
    <row r="476" spans="4:6">
      <c r="D476" s="181"/>
      <c r="E476" s="100"/>
      <c r="F476" s="100"/>
    </row>
    <row r="477" spans="4:6">
      <c r="D477" s="181"/>
      <c r="E477" s="100"/>
      <c r="F477" s="100"/>
    </row>
    <row r="478" spans="4:6">
      <c r="D478" s="181"/>
      <c r="E478" s="100"/>
      <c r="F478" s="100"/>
    </row>
    <row r="479" spans="4:6">
      <c r="D479" s="181"/>
      <c r="E479" s="100"/>
      <c r="F479" s="100"/>
    </row>
    <row r="480" spans="4:6">
      <c r="D480" s="181"/>
      <c r="E480" s="100"/>
      <c r="F480" s="100"/>
    </row>
    <row r="481" spans="4:6">
      <c r="D481" s="181"/>
      <c r="E481" s="100"/>
      <c r="F481" s="100"/>
    </row>
    <row r="482" spans="4:6">
      <c r="D482" s="181"/>
      <c r="E482" s="100"/>
      <c r="F482" s="100"/>
    </row>
    <row r="483" spans="4:6">
      <c r="D483" s="181"/>
      <c r="E483" s="100"/>
      <c r="F483" s="100"/>
    </row>
    <row r="484" spans="4:6">
      <c r="D484" s="181"/>
      <c r="E484" s="100"/>
      <c r="F484" s="100"/>
    </row>
    <row r="485" spans="4:6">
      <c r="D485" s="181"/>
      <c r="E485" s="100"/>
      <c r="F485" s="100"/>
    </row>
    <row r="486" spans="4:6">
      <c r="D486" s="181"/>
      <c r="E486" s="100"/>
      <c r="F486" s="100"/>
    </row>
    <row r="487" spans="4:6">
      <c r="D487" s="181"/>
      <c r="E487" s="100"/>
      <c r="F487" s="100"/>
    </row>
    <row r="488" spans="4:6">
      <c r="D488" s="181"/>
      <c r="E488" s="100"/>
      <c r="F488" s="100"/>
    </row>
    <row r="489" spans="4:6">
      <c r="D489" s="181"/>
      <c r="E489" s="100"/>
      <c r="F489" s="100"/>
    </row>
    <row r="490" spans="4:6">
      <c r="D490" s="181"/>
      <c r="E490" s="100"/>
      <c r="F490" s="100"/>
    </row>
    <row r="491" spans="4:6">
      <c r="D491" s="181"/>
      <c r="E491" s="100"/>
      <c r="F491" s="100"/>
    </row>
    <row r="492" spans="4:6">
      <c r="D492" s="181"/>
      <c r="E492" s="100"/>
      <c r="F492" s="100"/>
    </row>
    <row r="493" spans="4:6">
      <c r="D493" s="181"/>
      <c r="E493" s="100"/>
      <c r="F493" s="100"/>
    </row>
    <row r="494" spans="4:6">
      <c r="D494" s="181"/>
      <c r="E494" s="100"/>
      <c r="F494" s="100"/>
    </row>
    <row r="495" spans="4:6">
      <c r="D495" s="181"/>
      <c r="E495" s="100"/>
      <c r="F495" s="100"/>
    </row>
    <row r="496" spans="4:6">
      <c r="D496" s="181"/>
      <c r="E496" s="100"/>
      <c r="F496" s="100"/>
    </row>
    <row r="497" spans="4:6">
      <c r="D497" s="181"/>
      <c r="E497" s="100"/>
      <c r="F497" s="100"/>
    </row>
    <row r="498" spans="4:6">
      <c r="D498" s="181"/>
      <c r="E498" s="100"/>
      <c r="F498" s="100"/>
    </row>
    <row r="499" spans="4:6">
      <c r="D499" s="181"/>
      <c r="E499" s="100"/>
      <c r="F499" s="100"/>
    </row>
    <row r="500" spans="4:6">
      <c r="D500" s="181"/>
      <c r="E500" s="100"/>
      <c r="F500" s="100"/>
    </row>
    <row r="501" spans="4:6">
      <c r="D501" s="181"/>
      <c r="E501" s="181"/>
      <c r="F501" s="181"/>
    </row>
    <row r="502" spans="4:6">
      <c r="D502" s="181"/>
      <c r="E502" s="181"/>
      <c r="F502" s="181"/>
    </row>
    <row r="503" spans="4:6">
      <c r="D503" s="181"/>
      <c r="E503" s="181"/>
      <c r="F503" s="181"/>
    </row>
    <row r="504" spans="4:6">
      <c r="D504" s="181"/>
      <c r="E504" s="181"/>
      <c r="F504" s="181"/>
    </row>
    <row r="505" spans="4:6">
      <c r="D505" s="181"/>
      <c r="E505" s="181"/>
      <c r="F505" s="181"/>
    </row>
    <row r="506" spans="4:6">
      <c r="D506" s="181"/>
      <c r="E506" s="181"/>
      <c r="F506" s="181"/>
    </row>
    <row r="507" spans="4:6">
      <c r="D507" s="181"/>
      <c r="E507" s="181"/>
      <c r="F507" s="181"/>
    </row>
    <row r="508" spans="4:6">
      <c r="D508" s="181"/>
      <c r="E508" s="181"/>
      <c r="F508" s="181"/>
    </row>
    <row r="509" spans="4:6">
      <c r="D509" s="181"/>
      <c r="E509" s="181"/>
      <c r="F509" s="181"/>
    </row>
    <row r="510" spans="4:6">
      <c r="D510" s="181"/>
      <c r="E510" s="181"/>
      <c r="F510" s="181"/>
    </row>
    <row r="511" spans="4:6">
      <c r="D511" s="181"/>
      <c r="E511" s="181"/>
      <c r="F511" s="181"/>
    </row>
    <row r="512" spans="4:6">
      <c r="D512" s="181"/>
      <c r="E512" s="181"/>
      <c r="F512" s="181"/>
    </row>
    <row r="513" spans="4:6">
      <c r="D513" s="181"/>
      <c r="E513" s="181"/>
      <c r="F513" s="181"/>
    </row>
    <row r="514" spans="4:6">
      <c r="D514" s="181"/>
      <c r="E514" s="181"/>
      <c r="F514" s="181"/>
    </row>
    <row r="515" spans="4:6">
      <c r="D515" s="181"/>
      <c r="E515" s="181"/>
      <c r="F515" s="181"/>
    </row>
    <row r="516" spans="4:6">
      <c r="D516" s="181"/>
      <c r="E516" s="181"/>
      <c r="F516" s="181"/>
    </row>
    <row r="517" spans="4:6">
      <c r="D517" s="181"/>
      <c r="E517" s="181"/>
      <c r="F517" s="181"/>
    </row>
    <row r="518" spans="4:6">
      <c r="D518" s="181"/>
      <c r="E518" s="181"/>
      <c r="F518" s="181"/>
    </row>
    <row r="519" spans="4:6">
      <c r="D519" s="181"/>
      <c r="E519" s="181"/>
      <c r="F519" s="181"/>
    </row>
    <row r="520" spans="4:6">
      <c r="D520" s="181"/>
      <c r="E520" s="181"/>
      <c r="F520" s="181"/>
    </row>
    <row r="521" spans="4:6">
      <c r="D521" s="181"/>
      <c r="E521" s="181"/>
      <c r="F521" s="181"/>
    </row>
    <row r="522" spans="4:6">
      <c r="D522" s="181"/>
      <c r="E522" s="181"/>
      <c r="F522" s="181"/>
    </row>
    <row r="523" spans="4:6">
      <c r="D523" s="181"/>
      <c r="E523" s="181"/>
      <c r="F523" s="181"/>
    </row>
    <row r="524" spans="4:6">
      <c r="D524" s="181"/>
      <c r="E524" s="181"/>
      <c r="F524" s="181"/>
    </row>
    <row r="525" spans="4:6">
      <c r="D525" s="181"/>
      <c r="E525" s="181"/>
      <c r="F525" s="181"/>
    </row>
    <row r="526" spans="4:6">
      <c r="D526" s="181"/>
      <c r="E526" s="181"/>
      <c r="F526" s="181"/>
    </row>
    <row r="527" spans="4:6">
      <c r="D527" s="181"/>
      <c r="E527" s="181"/>
      <c r="F527" s="181"/>
    </row>
    <row r="528" spans="4:6">
      <c r="D528" s="181"/>
      <c r="E528" s="181"/>
      <c r="F528" s="181"/>
    </row>
    <row r="529" spans="4:6">
      <c r="D529" s="181"/>
      <c r="E529" s="181"/>
      <c r="F529" s="181"/>
    </row>
    <row r="530" spans="4:6">
      <c r="D530" s="181"/>
      <c r="E530" s="181"/>
      <c r="F530" s="181"/>
    </row>
    <row r="531" spans="4:6">
      <c r="D531" s="181"/>
      <c r="E531" s="181"/>
      <c r="F531" s="181"/>
    </row>
    <row r="532" spans="4:6">
      <c r="D532" s="181"/>
      <c r="E532" s="181"/>
      <c r="F532" s="181"/>
    </row>
    <row r="533" spans="4:6">
      <c r="D533" s="181"/>
      <c r="E533" s="181"/>
      <c r="F533" s="181"/>
    </row>
    <row r="534" spans="4:6">
      <c r="D534" s="181"/>
      <c r="E534" s="181"/>
      <c r="F534" s="181"/>
    </row>
    <row r="535" spans="4:6">
      <c r="D535" s="181"/>
      <c r="E535" s="181"/>
      <c r="F535" s="181"/>
    </row>
    <row r="536" spans="4:6">
      <c r="D536" s="181"/>
      <c r="E536" s="181"/>
      <c r="F536" s="181"/>
    </row>
    <row r="537" spans="4:6">
      <c r="D537" s="181"/>
      <c r="E537" s="181"/>
      <c r="F537" s="181"/>
    </row>
    <row r="538" spans="4:6">
      <c r="D538" s="181"/>
      <c r="E538" s="181"/>
      <c r="F538" s="181"/>
    </row>
    <row r="539" spans="4:6">
      <c r="D539" s="181"/>
      <c r="E539" s="181"/>
      <c r="F539" s="181"/>
    </row>
    <row r="540" spans="4:6">
      <c r="D540" s="181"/>
      <c r="E540" s="181"/>
      <c r="F540" s="181"/>
    </row>
    <row r="541" spans="4:6">
      <c r="D541" s="181"/>
      <c r="E541" s="181"/>
      <c r="F541" s="181"/>
    </row>
    <row r="542" spans="4:6">
      <c r="D542" s="181"/>
      <c r="E542" s="181"/>
      <c r="F542" s="181"/>
    </row>
    <row r="543" spans="4:6">
      <c r="D543" s="181"/>
      <c r="E543" s="181"/>
      <c r="F543" s="181"/>
    </row>
    <row r="544" spans="4:6">
      <c r="D544" s="181"/>
      <c r="E544" s="181"/>
      <c r="F544" s="181"/>
    </row>
    <row r="545" spans="4:6">
      <c r="D545" s="181"/>
      <c r="E545" s="181"/>
      <c r="F545" s="181"/>
    </row>
    <row r="546" spans="4:6">
      <c r="D546" s="181"/>
      <c r="E546" s="181"/>
      <c r="F546" s="181"/>
    </row>
    <row r="547" spans="4:6">
      <c r="D547" s="181"/>
      <c r="E547" s="181"/>
      <c r="F547" s="181"/>
    </row>
    <row r="548" spans="4:6">
      <c r="D548" s="181"/>
      <c r="E548" s="181"/>
      <c r="F548" s="181"/>
    </row>
    <row r="549" spans="4:6">
      <c r="D549" s="181"/>
      <c r="E549" s="181"/>
      <c r="F549" s="181"/>
    </row>
    <row r="550" spans="4:6">
      <c r="D550" s="181"/>
      <c r="E550" s="181"/>
      <c r="F550" s="181"/>
    </row>
    <row r="551" spans="4:6">
      <c r="D551" s="181"/>
      <c r="E551" s="181"/>
      <c r="F551" s="181"/>
    </row>
    <row r="552" spans="4:6">
      <c r="D552" s="181"/>
      <c r="E552" s="181"/>
      <c r="F552" s="181"/>
    </row>
    <row r="553" spans="4:6">
      <c r="D553" s="181"/>
      <c r="E553" s="181"/>
      <c r="F553" s="181"/>
    </row>
    <row r="554" spans="4:6">
      <c r="D554" s="181"/>
      <c r="E554" s="181"/>
      <c r="F554" s="181"/>
    </row>
    <row r="555" spans="4:6">
      <c r="D555" s="181"/>
      <c r="E555" s="181"/>
      <c r="F555" s="181"/>
    </row>
    <row r="556" spans="4:6">
      <c r="D556" s="181"/>
      <c r="E556" s="181"/>
      <c r="F556" s="181"/>
    </row>
    <row r="557" spans="4:6">
      <c r="D557" s="181"/>
      <c r="E557" s="181"/>
      <c r="F557" s="181"/>
    </row>
    <row r="558" spans="4:6">
      <c r="D558" s="181"/>
      <c r="E558" s="181"/>
      <c r="F558" s="181"/>
    </row>
    <row r="559" spans="4:6">
      <c r="D559" s="181"/>
      <c r="E559" s="181"/>
      <c r="F559" s="181"/>
    </row>
    <row r="560" spans="4:6">
      <c r="D560" s="181"/>
      <c r="E560" s="181"/>
      <c r="F560" s="181"/>
    </row>
    <row r="561" spans="4:6">
      <c r="D561" s="181"/>
      <c r="E561" s="181"/>
      <c r="F561" s="181"/>
    </row>
    <row r="562" spans="4:6">
      <c r="D562" s="181"/>
      <c r="E562" s="181"/>
      <c r="F562" s="181"/>
    </row>
    <row r="563" spans="4:6">
      <c r="D563" s="181"/>
      <c r="E563" s="181"/>
      <c r="F563" s="181"/>
    </row>
    <row r="564" spans="4:6">
      <c r="D564" s="181"/>
      <c r="E564" s="181"/>
      <c r="F564" s="181"/>
    </row>
    <row r="565" spans="4:6">
      <c r="D565" s="181"/>
      <c r="E565" s="181"/>
      <c r="F565" s="181"/>
    </row>
    <row r="566" spans="4:6">
      <c r="D566" s="181"/>
      <c r="E566" s="181"/>
      <c r="F566" s="181"/>
    </row>
    <row r="567" spans="4:6">
      <c r="D567" s="181"/>
      <c r="E567" s="181"/>
      <c r="F567" s="181"/>
    </row>
    <row r="568" spans="4:6">
      <c r="D568" s="181"/>
      <c r="E568" s="181"/>
      <c r="F568" s="181"/>
    </row>
    <row r="569" spans="4:6">
      <c r="D569" s="181"/>
      <c r="E569" s="181"/>
      <c r="F569" s="181"/>
    </row>
    <row r="570" spans="4:6">
      <c r="D570" s="181"/>
      <c r="E570" s="181"/>
      <c r="F570" s="181"/>
    </row>
    <row r="571" spans="4:6">
      <c r="D571" s="181"/>
      <c r="E571" s="181"/>
      <c r="F571" s="181"/>
    </row>
    <row r="572" spans="4:6">
      <c r="D572" s="181"/>
      <c r="E572" s="181"/>
      <c r="F572" s="181"/>
    </row>
    <row r="573" spans="4:6">
      <c r="D573" s="181"/>
      <c r="E573" s="181"/>
      <c r="F573" s="181"/>
    </row>
    <row r="574" spans="4:6">
      <c r="D574" s="181"/>
      <c r="E574" s="181"/>
      <c r="F574" s="181"/>
    </row>
    <row r="575" spans="4:6">
      <c r="D575" s="181"/>
      <c r="E575" s="181"/>
      <c r="F575" s="181"/>
    </row>
    <row r="576" spans="4:6">
      <c r="D576" s="181"/>
      <c r="E576" s="181"/>
      <c r="F576" s="181"/>
    </row>
    <row r="577" spans="4:6">
      <c r="D577" s="181"/>
      <c r="E577" s="181"/>
      <c r="F577" s="181"/>
    </row>
    <row r="578" spans="4:6">
      <c r="D578" s="181"/>
      <c r="E578" s="181"/>
      <c r="F578" s="181"/>
    </row>
    <row r="579" spans="4:6">
      <c r="D579" s="181"/>
      <c r="E579" s="181"/>
      <c r="F579" s="181"/>
    </row>
    <row r="580" spans="4:6">
      <c r="D580" s="181"/>
      <c r="E580" s="181"/>
      <c r="F580" s="181"/>
    </row>
    <row r="581" spans="4:6">
      <c r="D581" s="181"/>
      <c r="E581" s="181"/>
      <c r="F581" s="181"/>
    </row>
    <row r="582" spans="4:6">
      <c r="D582" s="181"/>
      <c r="E582" s="181"/>
      <c r="F582" s="181"/>
    </row>
    <row r="583" spans="4:6">
      <c r="D583" s="181"/>
      <c r="E583" s="181"/>
      <c r="F583" s="181"/>
    </row>
    <row r="584" spans="4:6">
      <c r="D584" s="181"/>
      <c r="E584" s="181"/>
      <c r="F584" s="181"/>
    </row>
    <row r="585" spans="4:6">
      <c r="D585" s="181"/>
      <c r="E585" s="181"/>
      <c r="F585" s="181"/>
    </row>
    <row r="586" spans="4:6">
      <c r="D586" s="181"/>
      <c r="E586" s="181"/>
      <c r="F586" s="181"/>
    </row>
    <row r="587" spans="4:6">
      <c r="D587" s="181"/>
      <c r="E587" s="181"/>
      <c r="F587" s="181"/>
    </row>
    <row r="588" spans="4:6">
      <c r="D588" s="181"/>
      <c r="E588" s="181"/>
      <c r="F588" s="181"/>
    </row>
    <row r="589" spans="4:6">
      <c r="D589" s="181"/>
      <c r="E589" s="181"/>
      <c r="F589" s="181"/>
    </row>
    <row r="590" spans="4:6">
      <c r="D590" s="181"/>
      <c r="E590" s="181"/>
      <c r="F590" s="181"/>
    </row>
    <row r="591" spans="4:6">
      <c r="D591" s="181"/>
      <c r="E591" s="181"/>
      <c r="F591" s="181"/>
    </row>
    <row r="592" spans="4:6">
      <c r="D592" s="181"/>
      <c r="E592" s="181"/>
      <c r="F592" s="181"/>
    </row>
    <row r="593" spans="4:6">
      <c r="D593" s="181"/>
      <c r="E593" s="181"/>
      <c r="F593" s="181"/>
    </row>
    <row r="594" spans="4:6">
      <c r="D594" s="181"/>
      <c r="E594" s="181"/>
      <c r="F594" s="181"/>
    </row>
    <row r="595" spans="4:6">
      <c r="D595" s="181"/>
      <c r="E595" s="181"/>
      <c r="F595" s="181"/>
    </row>
    <row r="596" spans="4:6">
      <c r="D596" s="181"/>
      <c r="E596" s="181"/>
      <c r="F596" s="181"/>
    </row>
    <row r="597" spans="4:6">
      <c r="D597" s="181"/>
      <c r="E597" s="181"/>
      <c r="F597" s="181"/>
    </row>
    <row r="598" spans="4:6">
      <c r="D598" s="181"/>
      <c r="E598" s="181"/>
      <c r="F598" s="181"/>
    </row>
    <row r="599" spans="4:6">
      <c r="D599" s="181"/>
      <c r="E599" s="181"/>
      <c r="F599" s="181"/>
    </row>
    <row r="600" spans="4:6">
      <c r="D600" s="181"/>
      <c r="E600" s="181"/>
      <c r="F600" s="181"/>
    </row>
    <row r="601" spans="4:6">
      <c r="D601" s="181"/>
      <c r="E601" s="181"/>
      <c r="F601" s="181"/>
    </row>
    <row r="602" spans="4:6">
      <c r="D602" s="181"/>
      <c r="E602" s="181"/>
      <c r="F602" s="181"/>
    </row>
    <row r="603" spans="4:6">
      <c r="D603" s="181"/>
      <c r="E603" s="181"/>
      <c r="F603" s="181"/>
    </row>
    <row r="604" spans="4:6">
      <c r="D604" s="181"/>
      <c r="E604" s="181"/>
      <c r="F604" s="181"/>
    </row>
    <row r="605" spans="4:6">
      <c r="D605" s="181"/>
      <c r="E605" s="181"/>
      <c r="F605" s="181"/>
    </row>
    <row r="606" spans="4:6">
      <c r="D606" s="181"/>
      <c r="E606" s="181"/>
      <c r="F606" s="181"/>
    </row>
    <row r="607" spans="4:6">
      <c r="D607" s="181"/>
      <c r="E607" s="181"/>
      <c r="F607" s="181"/>
    </row>
    <row r="608" spans="4:6">
      <c r="D608" s="181"/>
      <c r="E608" s="181"/>
      <c r="F608" s="181"/>
    </row>
    <row r="609" spans="4:6">
      <c r="D609" s="181"/>
      <c r="E609" s="181"/>
      <c r="F609" s="181"/>
    </row>
    <row r="610" spans="4:6">
      <c r="D610" s="181"/>
      <c r="E610" s="181"/>
      <c r="F610" s="181"/>
    </row>
    <row r="611" spans="4:6">
      <c r="D611" s="181"/>
      <c r="E611" s="181"/>
      <c r="F611" s="181"/>
    </row>
    <row r="612" spans="4:6">
      <c r="D612" s="181"/>
      <c r="E612" s="181"/>
      <c r="F612" s="181"/>
    </row>
    <row r="613" spans="4:6">
      <c r="D613" s="181"/>
      <c r="E613" s="181"/>
      <c r="F613" s="181"/>
    </row>
    <row r="614" spans="4:6">
      <c r="D614" s="181"/>
      <c r="E614" s="181"/>
      <c r="F614" s="181"/>
    </row>
    <row r="615" spans="4:6">
      <c r="D615" s="181"/>
      <c r="E615" s="181"/>
      <c r="F615" s="181"/>
    </row>
    <row r="616" spans="4:6">
      <c r="D616" s="181"/>
      <c r="E616" s="181"/>
      <c r="F616" s="181"/>
    </row>
    <row r="617" spans="4:6">
      <c r="D617" s="181"/>
      <c r="E617" s="181"/>
      <c r="F617" s="181"/>
    </row>
    <row r="618" spans="4:6">
      <c r="D618" s="181"/>
      <c r="E618" s="181"/>
      <c r="F618" s="181"/>
    </row>
    <row r="619" spans="4:6">
      <c r="D619" s="181"/>
      <c r="E619" s="181"/>
      <c r="F619" s="181"/>
    </row>
    <row r="620" spans="4:6">
      <c r="D620" s="181"/>
      <c r="E620" s="181"/>
      <c r="F620" s="181"/>
    </row>
    <row r="621" spans="4:6">
      <c r="D621" s="181"/>
      <c r="E621" s="181"/>
      <c r="F621" s="181"/>
    </row>
    <row r="622" spans="4:6">
      <c r="D622" s="181"/>
      <c r="E622" s="181"/>
      <c r="F622" s="181"/>
    </row>
    <row r="623" spans="4:6">
      <c r="D623" s="181"/>
      <c r="E623" s="181"/>
      <c r="F623" s="181"/>
    </row>
    <row r="624" spans="4:6">
      <c r="D624" s="181"/>
      <c r="E624" s="181"/>
      <c r="F624" s="181"/>
    </row>
    <row r="625" spans="4:6">
      <c r="D625" s="181"/>
      <c r="E625" s="181"/>
      <c r="F625" s="181"/>
    </row>
    <row r="626" spans="4:6">
      <c r="D626" s="181"/>
      <c r="E626" s="181"/>
      <c r="F626" s="181"/>
    </row>
    <row r="627" spans="4:6">
      <c r="D627" s="181"/>
      <c r="E627" s="181"/>
      <c r="F627" s="181"/>
    </row>
    <row r="628" spans="4:6">
      <c r="D628" s="181"/>
      <c r="E628" s="181"/>
      <c r="F628" s="181"/>
    </row>
    <row r="629" spans="4:6">
      <c r="D629" s="181"/>
      <c r="E629" s="181"/>
      <c r="F629" s="181"/>
    </row>
    <row r="630" spans="4:6">
      <c r="D630" s="181"/>
      <c r="E630" s="181"/>
      <c r="F630" s="181"/>
    </row>
    <row r="631" spans="4:6">
      <c r="D631" s="181"/>
      <c r="E631" s="181"/>
      <c r="F631" s="181"/>
    </row>
    <row r="632" spans="4:6">
      <c r="D632" s="181"/>
      <c r="E632" s="181"/>
      <c r="F632" s="181"/>
    </row>
    <row r="633" spans="4:6">
      <c r="D633" s="181"/>
      <c r="E633" s="181"/>
      <c r="F633" s="181"/>
    </row>
    <row r="634" spans="4:6">
      <c r="D634" s="181"/>
      <c r="E634" s="181"/>
      <c r="F634" s="181"/>
    </row>
    <row r="635" spans="4:6">
      <c r="D635" s="181"/>
      <c r="E635" s="181"/>
      <c r="F635" s="181"/>
    </row>
    <row r="636" spans="4:6">
      <c r="D636" s="181"/>
      <c r="E636" s="181"/>
      <c r="F636" s="181"/>
    </row>
    <row r="637" spans="4:6">
      <c r="D637" s="181"/>
      <c r="E637" s="181"/>
      <c r="F637" s="181"/>
    </row>
    <row r="638" spans="4:6">
      <c r="D638" s="181"/>
      <c r="E638" s="181"/>
      <c r="F638" s="181"/>
    </row>
    <row r="639" spans="4:6">
      <c r="D639" s="181"/>
      <c r="E639" s="181"/>
      <c r="F639" s="181"/>
    </row>
    <row r="640" spans="4:6">
      <c r="D640" s="181"/>
      <c r="E640" s="181"/>
      <c r="F640" s="181"/>
    </row>
    <row r="641" spans="4:6">
      <c r="D641" s="181"/>
      <c r="E641" s="181"/>
      <c r="F641" s="181"/>
    </row>
    <row r="642" spans="4:6">
      <c r="D642" s="181"/>
      <c r="E642" s="181"/>
      <c r="F642" s="181"/>
    </row>
    <row r="643" spans="4:6">
      <c r="D643" s="181"/>
      <c r="E643" s="181"/>
      <c r="F643" s="181"/>
    </row>
    <row r="644" spans="4:6">
      <c r="D644" s="181"/>
      <c r="E644" s="181"/>
      <c r="F644" s="181"/>
    </row>
    <row r="645" spans="4:6">
      <c r="D645" s="181"/>
      <c r="E645" s="181"/>
      <c r="F645" s="181"/>
    </row>
    <row r="646" spans="4:6">
      <c r="D646" s="181"/>
      <c r="E646" s="181"/>
      <c r="F646" s="181"/>
    </row>
    <row r="647" spans="4:6">
      <c r="D647" s="181"/>
      <c r="E647" s="181"/>
      <c r="F647" s="181"/>
    </row>
    <row r="648" spans="4:6">
      <c r="D648" s="181"/>
      <c r="E648" s="181"/>
      <c r="F648" s="181"/>
    </row>
    <row r="649" spans="4:6">
      <c r="D649" s="181"/>
      <c r="E649" s="181"/>
      <c r="F649" s="181"/>
    </row>
    <row r="650" spans="4:6">
      <c r="D650" s="181"/>
      <c r="E650" s="181"/>
      <c r="F650" s="181"/>
    </row>
    <row r="651" spans="4:6">
      <c r="D651" s="181"/>
      <c r="E651" s="181"/>
      <c r="F651" s="181"/>
    </row>
    <row r="652" spans="4:6">
      <c r="D652" s="181"/>
      <c r="E652" s="181"/>
      <c r="F652" s="181"/>
    </row>
    <row r="653" spans="4:6">
      <c r="D653" s="181"/>
      <c r="E653" s="181"/>
      <c r="F653" s="181"/>
    </row>
    <row r="654" spans="4:6">
      <c r="D654" s="181"/>
      <c r="E654" s="181"/>
      <c r="F654" s="181"/>
    </row>
    <row r="655" spans="4:6">
      <c r="D655" s="181"/>
      <c r="E655" s="181"/>
      <c r="F655" s="181"/>
    </row>
    <row r="656" spans="4:6">
      <c r="D656" s="181"/>
      <c r="E656" s="181"/>
      <c r="F656" s="181"/>
    </row>
    <row r="657" spans="4:6">
      <c r="D657" s="181"/>
      <c r="E657" s="181"/>
      <c r="F657" s="181"/>
    </row>
    <row r="658" spans="4:6">
      <c r="D658" s="181"/>
      <c r="E658" s="181"/>
      <c r="F658" s="181"/>
    </row>
    <row r="659" spans="4:6">
      <c r="D659" s="181"/>
      <c r="E659" s="181"/>
      <c r="F659" s="181"/>
    </row>
    <row r="660" spans="4:6">
      <c r="D660" s="181"/>
      <c r="E660" s="181"/>
      <c r="F660" s="181"/>
    </row>
    <row r="661" spans="4:6">
      <c r="D661" s="181"/>
      <c r="E661" s="181"/>
      <c r="F661" s="181"/>
    </row>
    <row r="662" spans="4:6">
      <c r="D662" s="181"/>
      <c r="E662" s="181"/>
      <c r="F662" s="181"/>
    </row>
    <row r="663" spans="4:6">
      <c r="D663" s="181"/>
      <c r="E663" s="181"/>
      <c r="F663" s="181"/>
    </row>
    <row r="664" spans="4:6">
      <c r="D664" s="181"/>
      <c r="E664" s="181"/>
      <c r="F664" s="181"/>
    </row>
    <row r="665" spans="4:6">
      <c r="D665" s="181"/>
      <c r="E665" s="181"/>
      <c r="F665" s="181"/>
    </row>
    <row r="666" spans="4:6">
      <c r="D666" s="181"/>
      <c r="E666" s="181"/>
      <c r="F666" s="181"/>
    </row>
    <row r="667" spans="4:6">
      <c r="D667" s="181"/>
      <c r="E667" s="181"/>
      <c r="F667" s="181"/>
    </row>
    <row r="668" spans="4:6">
      <c r="D668" s="181"/>
      <c r="E668" s="181"/>
      <c r="F668" s="181"/>
    </row>
    <row r="669" spans="4:6">
      <c r="D669" s="181"/>
      <c r="E669" s="181"/>
      <c r="F669" s="181"/>
    </row>
    <row r="670" spans="4:6">
      <c r="D670" s="181"/>
      <c r="E670" s="181"/>
      <c r="F670" s="181"/>
    </row>
    <row r="671" spans="4:6">
      <c r="D671" s="181"/>
      <c r="E671" s="181"/>
      <c r="F671" s="181"/>
    </row>
    <row r="672" spans="4:6">
      <c r="D672" s="181"/>
      <c r="E672" s="181"/>
      <c r="F672" s="181"/>
    </row>
    <row r="673" spans="4:6">
      <c r="D673" s="181"/>
      <c r="E673" s="181"/>
      <c r="F673" s="181"/>
    </row>
    <row r="674" spans="4:6">
      <c r="D674" s="181"/>
      <c r="E674" s="181"/>
      <c r="F674" s="181"/>
    </row>
    <row r="675" spans="4:6">
      <c r="D675" s="181"/>
      <c r="E675" s="181"/>
      <c r="F675" s="181"/>
    </row>
    <row r="676" spans="4:6">
      <c r="D676" s="181"/>
      <c r="E676" s="181"/>
      <c r="F676" s="181"/>
    </row>
    <row r="677" spans="4:6">
      <c r="D677" s="181"/>
      <c r="E677" s="181"/>
      <c r="F677" s="181"/>
    </row>
    <row r="678" spans="4:6">
      <c r="D678" s="181"/>
      <c r="E678" s="181"/>
      <c r="F678" s="181"/>
    </row>
    <row r="679" spans="4:6">
      <c r="D679" s="181"/>
      <c r="E679" s="181"/>
      <c r="F679" s="181"/>
    </row>
    <row r="680" spans="4:6">
      <c r="D680" s="181"/>
      <c r="E680" s="181"/>
      <c r="F680" s="181"/>
    </row>
    <row r="681" spans="4:6">
      <c r="D681" s="181"/>
      <c r="E681" s="181"/>
      <c r="F681" s="181"/>
    </row>
    <row r="682" spans="4:6">
      <c r="D682" s="181"/>
      <c r="E682" s="181"/>
      <c r="F682" s="181"/>
    </row>
    <row r="683" spans="4:6">
      <c r="D683" s="181"/>
      <c r="E683" s="181"/>
      <c r="F683" s="181"/>
    </row>
    <row r="684" spans="4:6">
      <c r="D684" s="181"/>
      <c r="E684" s="181"/>
      <c r="F684" s="181"/>
    </row>
    <row r="685" spans="4:6">
      <c r="D685" s="181"/>
      <c r="E685" s="181"/>
      <c r="F685" s="181"/>
    </row>
    <row r="686" spans="4:6">
      <c r="D686" s="181"/>
      <c r="E686" s="181"/>
      <c r="F686" s="181"/>
    </row>
    <row r="687" spans="4:6">
      <c r="D687" s="181"/>
      <c r="E687" s="181"/>
      <c r="F687" s="181"/>
    </row>
    <row r="688" spans="4:6">
      <c r="D688" s="181"/>
      <c r="E688" s="181"/>
      <c r="F688" s="181"/>
    </row>
    <row r="689" spans="4:6">
      <c r="D689" s="181"/>
      <c r="E689" s="181"/>
      <c r="F689" s="181"/>
    </row>
    <row r="690" spans="4:6">
      <c r="D690" s="181"/>
      <c r="E690" s="181"/>
      <c r="F690" s="181"/>
    </row>
    <row r="691" spans="4:6">
      <c r="D691" s="181"/>
      <c r="E691" s="181"/>
      <c r="F691" s="181"/>
    </row>
    <row r="692" spans="4:6">
      <c r="D692" s="181"/>
      <c r="E692" s="181"/>
      <c r="F692" s="181"/>
    </row>
    <row r="693" spans="4:6">
      <c r="D693" s="181"/>
      <c r="E693" s="181"/>
      <c r="F693" s="181"/>
    </row>
    <row r="694" spans="4:6">
      <c r="D694" s="181"/>
      <c r="E694" s="181"/>
      <c r="F694" s="181"/>
    </row>
    <row r="695" spans="4:6">
      <c r="D695" s="181"/>
      <c r="E695" s="181"/>
      <c r="F695" s="181"/>
    </row>
    <row r="696" spans="4:6">
      <c r="D696" s="181"/>
      <c r="E696" s="181"/>
      <c r="F696" s="181"/>
    </row>
    <row r="697" spans="4:6">
      <c r="D697" s="181"/>
      <c r="E697" s="181"/>
      <c r="F697" s="181"/>
    </row>
    <row r="698" spans="4:6">
      <c r="D698" s="181"/>
      <c r="E698" s="181"/>
      <c r="F698" s="181"/>
    </row>
    <row r="699" spans="4:6">
      <c r="D699" s="181"/>
      <c r="E699" s="181"/>
      <c r="F699" s="181"/>
    </row>
    <row r="700" spans="4:6">
      <c r="D700" s="181"/>
      <c r="E700" s="181"/>
      <c r="F700" s="181"/>
    </row>
    <row r="701" spans="4:6">
      <c r="D701" s="181"/>
      <c r="E701" s="181"/>
      <c r="F701" s="181"/>
    </row>
    <row r="702" spans="4:6">
      <c r="D702" s="181"/>
      <c r="E702" s="181"/>
      <c r="F702" s="181"/>
    </row>
    <row r="703" spans="4:6">
      <c r="D703" s="181"/>
      <c r="E703" s="181"/>
      <c r="F703" s="181"/>
    </row>
    <row r="704" spans="4:6">
      <c r="D704" s="181"/>
      <c r="E704" s="181"/>
      <c r="F704" s="181"/>
    </row>
    <row r="705" spans="4:6">
      <c r="D705" s="181"/>
      <c r="E705" s="181"/>
      <c r="F705" s="181"/>
    </row>
    <row r="706" spans="4:6">
      <c r="D706" s="181"/>
      <c r="E706" s="181"/>
      <c r="F706" s="181"/>
    </row>
    <row r="707" spans="4:6">
      <c r="D707" s="181"/>
      <c r="E707" s="181"/>
      <c r="F707" s="181"/>
    </row>
    <row r="708" spans="4:6">
      <c r="D708" s="181"/>
      <c r="E708" s="181"/>
      <c r="F708" s="181"/>
    </row>
    <row r="709" spans="4:6">
      <c r="D709" s="181"/>
      <c r="E709" s="181"/>
      <c r="F709" s="181"/>
    </row>
    <row r="710" spans="4:6">
      <c r="D710" s="181"/>
      <c r="E710" s="181"/>
      <c r="F710" s="181"/>
    </row>
    <row r="711" spans="4:6">
      <c r="D711" s="181"/>
      <c r="E711" s="181"/>
      <c r="F711" s="181"/>
    </row>
    <row r="712" spans="4:6">
      <c r="D712" s="181"/>
      <c r="E712" s="181"/>
      <c r="F712" s="181"/>
    </row>
    <row r="713" spans="4:6">
      <c r="D713" s="181"/>
      <c r="E713" s="181"/>
      <c r="F713" s="181"/>
    </row>
    <row r="714" spans="4:6">
      <c r="D714" s="181"/>
      <c r="E714" s="181"/>
      <c r="F714" s="181"/>
    </row>
    <row r="715" spans="4:6">
      <c r="D715" s="181"/>
      <c r="E715" s="181"/>
      <c r="F715" s="181"/>
    </row>
    <row r="716" spans="4:6">
      <c r="D716" s="181"/>
      <c r="E716" s="181"/>
      <c r="F716" s="181"/>
    </row>
    <row r="717" spans="4:6">
      <c r="D717" s="181"/>
      <c r="E717" s="181"/>
      <c r="F717" s="181"/>
    </row>
    <row r="718" spans="4:6">
      <c r="D718" s="181"/>
      <c r="E718" s="181"/>
      <c r="F718" s="181"/>
    </row>
    <row r="719" spans="4:6">
      <c r="D719" s="181"/>
      <c r="E719" s="181"/>
      <c r="F719" s="181"/>
    </row>
    <row r="720" spans="4:6">
      <c r="D720" s="181"/>
      <c r="E720" s="181"/>
      <c r="F720" s="181"/>
    </row>
    <row r="721" spans="4:6">
      <c r="D721" s="181"/>
      <c r="E721" s="181"/>
      <c r="F721" s="181"/>
    </row>
    <row r="722" spans="4:6">
      <c r="D722" s="181"/>
      <c r="E722" s="181"/>
      <c r="F722" s="181"/>
    </row>
    <row r="723" spans="4:6">
      <c r="D723" s="181"/>
      <c r="E723" s="181"/>
      <c r="F723" s="181"/>
    </row>
    <row r="724" spans="4:6">
      <c r="D724" s="181"/>
      <c r="E724" s="181"/>
      <c r="F724" s="181"/>
    </row>
    <row r="725" spans="4:6">
      <c r="D725" s="181"/>
      <c r="E725" s="181"/>
      <c r="F725" s="181"/>
    </row>
    <row r="726" spans="4:6">
      <c r="D726" s="181"/>
      <c r="E726" s="181"/>
      <c r="F726" s="181"/>
    </row>
    <row r="727" spans="4:6">
      <c r="D727" s="181"/>
      <c r="E727" s="181"/>
      <c r="F727" s="181"/>
    </row>
    <row r="728" spans="4:6">
      <c r="D728" s="181"/>
      <c r="E728" s="181"/>
      <c r="F728" s="181"/>
    </row>
    <row r="729" spans="4:6">
      <c r="D729" s="181"/>
      <c r="E729" s="181"/>
      <c r="F729" s="181"/>
    </row>
    <row r="730" spans="4:6">
      <c r="D730" s="181"/>
      <c r="E730" s="181"/>
      <c r="F730" s="181"/>
    </row>
    <row r="731" spans="4:6">
      <c r="D731" s="181"/>
      <c r="E731" s="181"/>
      <c r="F731" s="181"/>
    </row>
    <row r="732" spans="4:6">
      <c r="D732" s="181"/>
      <c r="E732" s="181"/>
      <c r="F732" s="181"/>
    </row>
    <row r="733" spans="4:6">
      <c r="D733" s="181"/>
      <c r="E733" s="181"/>
      <c r="F733" s="181"/>
    </row>
    <row r="734" spans="4:6">
      <c r="D734" s="181"/>
      <c r="E734" s="181"/>
      <c r="F734" s="181"/>
    </row>
    <row r="735" spans="4:6">
      <c r="D735" s="181"/>
      <c r="E735" s="181"/>
      <c r="F735" s="181"/>
    </row>
    <row r="736" spans="4:6">
      <c r="D736" s="181"/>
      <c r="E736" s="181"/>
      <c r="F736" s="181"/>
    </row>
    <row r="737" spans="4:6">
      <c r="D737" s="181"/>
      <c r="E737" s="181"/>
      <c r="F737" s="181"/>
    </row>
    <row r="738" spans="4:6">
      <c r="D738" s="181"/>
      <c r="E738" s="181"/>
      <c r="F738" s="181"/>
    </row>
    <row r="739" spans="4:6">
      <c r="D739" s="181"/>
      <c r="E739" s="181"/>
      <c r="F739" s="181"/>
    </row>
    <row r="740" spans="4:6">
      <c r="D740" s="181"/>
      <c r="E740" s="181"/>
      <c r="F740" s="181"/>
    </row>
    <row r="741" spans="4:6">
      <c r="D741" s="181"/>
      <c r="E741" s="181"/>
      <c r="F741" s="181"/>
    </row>
    <row r="742" spans="4:6">
      <c r="D742" s="181"/>
      <c r="E742" s="181"/>
      <c r="F742" s="181"/>
    </row>
    <row r="743" spans="4:6">
      <c r="D743" s="181"/>
      <c r="E743" s="181"/>
      <c r="F743" s="181"/>
    </row>
    <row r="744" spans="4:6">
      <c r="D744" s="181"/>
      <c r="E744" s="181"/>
      <c r="F744" s="181"/>
    </row>
    <row r="745" spans="4:6">
      <c r="D745" s="181"/>
      <c r="E745" s="181"/>
      <c r="F745" s="181"/>
    </row>
    <row r="746" spans="4:6">
      <c r="D746" s="181"/>
      <c r="E746" s="181"/>
      <c r="F746" s="181"/>
    </row>
    <row r="747" spans="4:6">
      <c r="D747" s="181"/>
      <c r="E747" s="181"/>
      <c r="F747" s="181"/>
    </row>
    <row r="748" spans="4:6">
      <c r="D748" s="181"/>
      <c r="E748" s="181"/>
      <c r="F748" s="181"/>
    </row>
    <row r="749" spans="4:6">
      <c r="D749" s="181"/>
      <c r="E749" s="181"/>
      <c r="F749" s="181"/>
    </row>
    <row r="750" spans="4:6">
      <c r="D750" s="181"/>
      <c r="E750" s="181"/>
      <c r="F750" s="181"/>
    </row>
    <row r="751" spans="4:6">
      <c r="D751" s="181"/>
      <c r="E751" s="181"/>
      <c r="F751" s="181"/>
    </row>
    <row r="752" spans="4:6">
      <c r="D752" s="181"/>
      <c r="E752" s="181"/>
      <c r="F752" s="181"/>
    </row>
    <row r="753" spans="4:6">
      <c r="D753" s="181"/>
      <c r="E753" s="181"/>
      <c r="F753" s="181"/>
    </row>
    <row r="754" spans="4:6">
      <c r="D754" s="181"/>
      <c r="E754" s="181"/>
      <c r="F754" s="181"/>
    </row>
    <row r="755" spans="4:6">
      <c r="D755" s="181"/>
      <c r="E755" s="181"/>
      <c r="F755" s="181"/>
    </row>
    <row r="756" spans="4:6">
      <c r="D756" s="181"/>
      <c r="E756" s="181"/>
      <c r="F756" s="181"/>
    </row>
    <row r="757" spans="4:6">
      <c r="D757" s="181"/>
      <c r="E757" s="181"/>
      <c r="F757" s="181"/>
    </row>
    <row r="758" spans="4:6">
      <c r="D758" s="181"/>
      <c r="E758" s="181"/>
      <c r="F758" s="181"/>
    </row>
    <row r="759" spans="4:6">
      <c r="D759" s="181"/>
      <c r="E759" s="181"/>
      <c r="F759" s="181"/>
    </row>
    <row r="760" spans="4:6">
      <c r="D760" s="181"/>
      <c r="E760" s="181"/>
      <c r="F760" s="181"/>
    </row>
    <row r="761" spans="4:6">
      <c r="D761" s="181"/>
      <c r="E761" s="181"/>
      <c r="F761" s="181"/>
    </row>
    <row r="762" spans="4:6">
      <c r="D762" s="181"/>
      <c r="E762" s="181"/>
      <c r="F762" s="181"/>
    </row>
    <row r="763" spans="4:6">
      <c r="D763" s="181"/>
      <c r="E763" s="181"/>
      <c r="F763" s="181"/>
    </row>
    <row r="764" spans="4:6">
      <c r="D764" s="181"/>
      <c r="E764" s="181"/>
      <c r="F764" s="181"/>
    </row>
    <row r="765" spans="4:6">
      <c r="D765" s="181"/>
      <c r="E765" s="181"/>
      <c r="F765" s="181"/>
    </row>
    <row r="766" spans="4:6">
      <c r="D766" s="181"/>
      <c r="E766" s="181"/>
      <c r="F766" s="181"/>
    </row>
    <row r="767" spans="4:6">
      <c r="D767" s="181"/>
      <c r="E767" s="181"/>
      <c r="F767" s="181"/>
    </row>
    <row r="768" spans="4:6">
      <c r="D768" s="181"/>
      <c r="E768" s="181"/>
      <c r="F768" s="181"/>
    </row>
    <row r="769" spans="4:6">
      <c r="D769" s="181"/>
      <c r="E769" s="181"/>
      <c r="F769" s="181"/>
    </row>
    <row r="770" spans="4:6">
      <c r="D770" s="181"/>
      <c r="E770" s="181"/>
      <c r="F770" s="181"/>
    </row>
    <row r="771" spans="4:6">
      <c r="D771" s="181"/>
      <c r="E771" s="181"/>
      <c r="F771" s="181"/>
    </row>
    <row r="772" spans="4:6">
      <c r="D772" s="181"/>
      <c r="E772" s="181"/>
      <c r="F772" s="181"/>
    </row>
    <row r="773" spans="4:6">
      <c r="D773" s="181"/>
      <c r="E773" s="181"/>
      <c r="F773" s="181"/>
    </row>
    <row r="774" spans="4:6">
      <c r="D774" s="181"/>
      <c r="E774" s="181"/>
      <c r="F774" s="181"/>
    </row>
    <row r="775" spans="4:6">
      <c r="D775" s="181"/>
      <c r="E775" s="181"/>
      <c r="F775" s="181"/>
    </row>
    <row r="776" spans="4:6">
      <c r="D776" s="181"/>
      <c r="E776" s="181"/>
      <c r="F776" s="181"/>
    </row>
    <row r="777" spans="4:6">
      <c r="D777" s="181"/>
      <c r="E777" s="181"/>
      <c r="F777" s="181"/>
    </row>
    <row r="778" spans="4:6">
      <c r="D778" s="181"/>
      <c r="E778" s="181"/>
      <c r="F778" s="181"/>
    </row>
    <row r="779" spans="4:6">
      <c r="D779" s="181"/>
      <c r="E779" s="181"/>
      <c r="F779" s="181"/>
    </row>
    <row r="780" spans="4:6">
      <c r="D780" s="181"/>
      <c r="E780" s="181"/>
      <c r="F780" s="181"/>
    </row>
    <row r="781" spans="4:6">
      <c r="D781" s="181"/>
      <c r="E781" s="181"/>
      <c r="F781" s="181"/>
    </row>
    <row r="782" spans="4:6">
      <c r="D782" s="181"/>
      <c r="E782" s="181"/>
      <c r="F782" s="181"/>
    </row>
    <row r="783" spans="4:6">
      <c r="D783" s="181"/>
      <c r="E783" s="181"/>
      <c r="F783" s="181"/>
    </row>
    <row r="784" spans="4:6">
      <c r="D784" s="181"/>
      <c r="E784" s="181"/>
      <c r="F784" s="181"/>
    </row>
    <row r="785" spans="4:6">
      <c r="D785" s="181"/>
      <c r="E785" s="181"/>
      <c r="F785" s="181"/>
    </row>
    <row r="786" spans="4:6">
      <c r="D786" s="181"/>
      <c r="E786" s="181"/>
      <c r="F786" s="181"/>
    </row>
    <row r="787" spans="4:6">
      <c r="D787" s="181"/>
      <c r="E787" s="181"/>
      <c r="F787" s="181"/>
    </row>
    <row r="788" spans="4:6">
      <c r="D788" s="181"/>
      <c r="E788" s="181"/>
      <c r="F788" s="181"/>
    </row>
    <row r="789" spans="4:6">
      <c r="D789" s="181"/>
      <c r="E789" s="181"/>
      <c r="F789" s="181"/>
    </row>
    <row r="790" spans="4:6">
      <c r="D790" s="181"/>
      <c r="E790" s="181"/>
      <c r="F790" s="181"/>
    </row>
    <row r="791" spans="4:6">
      <c r="D791" s="181"/>
      <c r="E791" s="181"/>
      <c r="F791" s="181"/>
    </row>
    <row r="792" spans="4:6">
      <c r="D792" s="181"/>
      <c r="E792" s="181"/>
      <c r="F792" s="181"/>
    </row>
    <row r="793" spans="4:6">
      <c r="D793" s="181"/>
      <c r="E793" s="181"/>
      <c r="F793" s="181"/>
    </row>
    <row r="794" spans="4:6">
      <c r="D794" s="181"/>
      <c r="E794" s="181"/>
      <c r="F794" s="181"/>
    </row>
    <row r="795" spans="4:6">
      <c r="D795" s="181"/>
      <c r="E795" s="181"/>
      <c r="F795" s="181"/>
    </row>
    <row r="796" spans="4:6">
      <c r="D796" s="181"/>
      <c r="E796" s="181"/>
      <c r="F796" s="181"/>
    </row>
    <row r="797" spans="4:6">
      <c r="D797" s="181"/>
      <c r="E797" s="181"/>
      <c r="F797" s="181"/>
    </row>
    <row r="798" spans="4:6">
      <c r="D798" s="181"/>
      <c r="E798" s="181"/>
      <c r="F798" s="181"/>
    </row>
    <row r="799" spans="4:6">
      <c r="D799" s="181"/>
      <c r="E799" s="181"/>
      <c r="F799" s="181"/>
    </row>
    <row r="800" spans="4:6">
      <c r="D800" s="181"/>
      <c r="E800" s="181"/>
      <c r="F800" s="181"/>
    </row>
    <row r="801" spans="4:6">
      <c r="D801" s="181"/>
      <c r="E801" s="181"/>
      <c r="F801" s="181"/>
    </row>
    <row r="802" spans="4:6">
      <c r="D802" s="181"/>
      <c r="E802" s="181"/>
      <c r="F802" s="181"/>
    </row>
    <row r="803" spans="4:6">
      <c r="D803" s="181"/>
      <c r="E803" s="181"/>
      <c r="F803" s="181"/>
    </row>
    <row r="804" spans="4:6">
      <c r="D804" s="181"/>
      <c r="E804" s="181"/>
      <c r="F804" s="181"/>
    </row>
    <row r="805" spans="4:6">
      <c r="D805" s="181"/>
      <c r="E805" s="181"/>
      <c r="F805" s="181"/>
    </row>
    <row r="806" spans="4:6">
      <c r="D806" s="181"/>
      <c r="E806" s="181"/>
      <c r="F806" s="181"/>
    </row>
    <row r="807" spans="4:6">
      <c r="D807" s="181"/>
      <c r="E807" s="181"/>
      <c r="F807" s="181"/>
    </row>
    <row r="808" spans="4:6">
      <c r="D808" s="181"/>
      <c r="E808" s="181"/>
      <c r="F808" s="181"/>
    </row>
    <row r="809" spans="4:6">
      <c r="D809" s="181"/>
      <c r="E809" s="181"/>
      <c r="F809" s="181"/>
    </row>
    <row r="810" spans="4:6">
      <c r="D810" s="181"/>
      <c r="E810" s="181"/>
      <c r="F810" s="181"/>
    </row>
    <row r="811" spans="4:6">
      <c r="D811" s="181"/>
      <c r="E811" s="181"/>
      <c r="F811" s="181"/>
    </row>
    <row r="812" spans="4:6">
      <c r="D812" s="181"/>
      <c r="E812" s="181"/>
      <c r="F812" s="181"/>
    </row>
    <row r="813" spans="4:6">
      <c r="D813" s="181"/>
      <c r="E813" s="181"/>
      <c r="F813" s="181"/>
    </row>
    <row r="814" spans="4:6">
      <c r="D814" s="181"/>
      <c r="E814" s="181"/>
      <c r="F814" s="181"/>
    </row>
    <row r="815" spans="4:6">
      <c r="D815" s="181"/>
      <c r="E815" s="181"/>
      <c r="F815" s="181"/>
    </row>
    <row r="816" spans="4:6">
      <c r="D816" s="181"/>
      <c r="E816" s="181"/>
      <c r="F816" s="181"/>
    </row>
    <row r="817" spans="4:6">
      <c r="D817" s="181"/>
      <c r="E817" s="181"/>
      <c r="F817" s="181"/>
    </row>
    <row r="818" spans="4:6">
      <c r="D818" s="181"/>
      <c r="E818" s="181"/>
      <c r="F818" s="181"/>
    </row>
    <row r="819" spans="4:6">
      <c r="D819" s="181"/>
      <c r="E819" s="181"/>
      <c r="F819" s="181"/>
    </row>
    <row r="820" spans="4:6">
      <c r="D820" s="181"/>
      <c r="E820" s="181"/>
      <c r="F820" s="181"/>
    </row>
    <row r="821" spans="4:6">
      <c r="D821" s="181"/>
      <c r="E821" s="181"/>
      <c r="F821" s="181"/>
    </row>
    <row r="822" spans="4:6">
      <c r="D822" s="181"/>
      <c r="E822" s="181"/>
      <c r="F822" s="181"/>
    </row>
    <row r="823" spans="4:6">
      <c r="D823" s="181"/>
      <c r="E823" s="181"/>
      <c r="F823" s="181"/>
    </row>
    <row r="824" spans="4:6">
      <c r="D824" s="181"/>
      <c r="E824" s="181"/>
      <c r="F824" s="181"/>
    </row>
    <row r="825" spans="4:6">
      <c r="D825" s="181"/>
      <c r="E825" s="181"/>
      <c r="F825" s="181"/>
    </row>
    <row r="826" spans="4:6">
      <c r="D826" s="181"/>
      <c r="E826" s="181"/>
      <c r="F826" s="181"/>
    </row>
    <row r="827" spans="4:6">
      <c r="D827" s="181"/>
      <c r="E827" s="181"/>
      <c r="F827" s="181"/>
    </row>
    <row r="828" spans="4:6">
      <c r="D828" s="181"/>
      <c r="E828" s="181"/>
      <c r="F828" s="181"/>
    </row>
    <row r="829" spans="4:6">
      <c r="D829" s="181"/>
      <c r="E829" s="181"/>
      <c r="F829" s="181"/>
    </row>
    <row r="830" spans="4:6">
      <c r="D830" s="181"/>
      <c r="E830" s="181"/>
      <c r="F830" s="181"/>
    </row>
    <row r="831" spans="4:6">
      <c r="D831" s="181"/>
      <c r="E831" s="181"/>
      <c r="F831" s="181"/>
    </row>
    <row r="832" spans="4:6">
      <c r="D832" s="181"/>
      <c r="E832" s="181"/>
      <c r="F832" s="181"/>
    </row>
    <row r="833" spans="4:6">
      <c r="D833" s="181"/>
      <c r="E833" s="181"/>
      <c r="F833" s="181"/>
    </row>
    <row r="834" spans="4:6">
      <c r="D834" s="181"/>
      <c r="E834" s="181"/>
      <c r="F834" s="181"/>
    </row>
    <row r="835" spans="4:6">
      <c r="D835" s="181"/>
      <c r="E835" s="181"/>
      <c r="F835" s="181"/>
    </row>
    <row r="836" spans="4:6">
      <c r="D836" s="181"/>
      <c r="E836" s="181"/>
      <c r="F836" s="181"/>
    </row>
    <row r="837" spans="4:6">
      <c r="D837" s="181"/>
      <c r="E837" s="181"/>
      <c r="F837" s="181"/>
    </row>
    <row r="838" spans="4:6">
      <c r="D838" s="181"/>
      <c r="E838" s="181"/>
      <c r="F838" s="181"/>
    </row>
    <row r="839" spans="4:6">
      <c r="D839" s="181"/>
      <c r="E839" s="181"/>
      <c r="F839" s="181"/>
    </row>
    <row r="840" spans="4:6">
      <c r="D840" s="181"/>
      <c r="E840" s="181"/>
      <c r="F840" s="181"/>
    </row>
    <row r="841" spans="4:6">
      <c r="D841" s="181"/>
      <c r="E841" s="181"/>
      <c r="F841" s="181"/>
    </row>
    <row r="842" spans="4:6">
      <c r="D842" s="181"/>
      <c r="E842" s="181"/>
      <c r="F842" s="181"/>
    </row>
    <row r="843" spans="4:6">
      <c r="D843" s="181"/>
      <c r="E843" s="181"/>
      <c r="F843" s="181"/>
    </row>
    <row r="844" spans="4:6">
      <c r="D844" s="181"/>
      <c r="E844" s="181"/>
      <c r="F844" s="181"/>
    </row>
    <row r="845" spans="4:6">
      <c r="D845" s="181"/>
      <c r="E845" s="181"/>
      <c r="F845" s="181"/>
    </row>
    <row r="846" spans="4:6">
      <c r="D846" s="181"/>
      <c r="E846" s="181"/>
      <c r="F846" s="181"/>
    </row>
    <row r="847" spans="4:6">
      <c r="D847" s="181"/>
      <c r="E847" s="181"/>
      <c r="F847" s="181"/>
    </row>
    <row r="848" spans="4:6">
      <c r="D848" s="181"/>
      <c r="E848" s="181"/>
      <c r="F848" s="181"/>
    </row>
    <row r="849" spans="4:6">
      <c r="D849" s="181"/>
      <c r="E849" s="181"/>
      <c r="F849" s="181"/>
    </row>
    <row r="850" spans="4:6">
      <c r="D850" s="181"/>
      <c r="E850" s="181"/>
      <c r="F850" s="181"/>
    </row>
    <row r="851" spans="4:6">
      <c r="D851" s="181"/>
      <c r="E851" s="181"/>
      <c r="F851" s="181"/>
    </row>
    <row r="852" spans="4:6">
      <c r="D852" s="181"/>
      <c r="E852" s="181"/>
      <c r="F852" s="181"/>
    </row>
    <row r="853" spans="4:6">
      <c r="D853" s="181"/>
      <c r="E853" s="181"/>
      <c r="F853" s="181"/>
    </row>
    <row r="854" spans="4:6">
      <c r="D854" s="181"/>
      <c r="E854" s="181"/>
      <c r="F854" s="181"/>
    </row>
    <row r="855" spans="4:6">
      <c r="D855" s="181"/>
      <c r="E855" s="181"/>
      <c r="F855" s="181"/>
    </row>
    <row r="856" spans="4:6">
      <c r="D856" s="181"/>
      <c r="E856" s="181"/>
      <c r="F856" s="181"/>
    </row>
    <row r="857" spans="4:6">
      <c r="D857" s="181"/>
      <c r="E857" s="181"/>
      <c r="F857" s="181"/>
    </row>
    <row r="858" spans="4:6">
      <c r="D858" s="181"/>
      <c r="E858" s="181"/>
      <c r="F858" s="181"/>
    </row>
    <row r="859" spans="4:6">
      <c r="D859" s="181"/>
      <c r="E859" s="181"/>
      <c r="F859" s="181"/>
    </row>
    <row r="860" spans="4:6">
      <c r="D860" s="181"/>
      <c r="E860" s="181"/>
      <c r="F860" s="181"/>
    </row>
    <row r="861" spans="4:6">
      <c r="D861" s="181"/>
      <c r="E861" s="181"/>
      <c r="F861" s="181"/>
    </row>
    <row r="862" spans="4:6">
      <c r="D862" s="181"/>
      <c r="E862" s="181"/>
      <c r="F862" s="181"/>
    </row>
    <row r="863" spans="4:6">
      <c r="D863" s="181"/>
      <c r="E863" s="181"/>
      <c r="F863" s="181"/>
    </row>
    <row r="864" spans="4:6">
      <c r="D864" s="181"/>
      <c r="E864" s="181"/>
      <c r="F864" s="181"/>
    </row>
    <row r="865" spans="4:6">
      <c r="D865" s="181"/>
      <c r="E865" s="181"/>
      <c r="F865" s="181"/>
    </row>
    <row r="866" spans="4:6">
      <c r="D866" s="181"/>
      <c r="E866" s="181"/>
      <c r="F866" s="181"/>
    </row>
    <row r="867" spans="4:6">
      <c r="D867" s="181"/>
      <c r="E867" s="181"/>
      <c r="F867" s="181"/>
    </row>
    <row r="868" spans="4:6">
      <c r="D868" s="181"/>
      <c r="E868" s="181"/>
      <c r="F868" s="181"/>
    </row>
    <row r="869" spans="4:6">
      <c r="D869" s="181"/>
      <c r="E869" s="181"/>
      <c r="F869" s="181"/>
    </row>
    <row r="870" spans="4:6">
      <c r="D870" s="181"/>
      <c r="E870" s="181"/>
      <c r="F870" s="181"/>
    </row>
    <row r="871" spans="4:6">
      <c r="D871" s="181"/>
      <c r="E871" s="181"/>
      <c r="F871" s="181"/>
    </row>
    <row r="872" spans="4:6">
      <c r="D872" s="181"/>
      <c r="E872" s="181"/>
      <c r="F872" s="181"/>
    </row>
    <row r="873" spans="4:6">
      <c r="D873" s="181"/>
      <c r="E873" s="181"/>
      <c r="F873" s="181"/>
    </row>
    <row r="874" spans="4:6">
      <c r="D874" s="181"/>
      <c r="E874" s="181"/>
      <c r="F874" s="181"/>
    </row>
    <row r="875" spans="4:6">
      <c r="D875" s="181"/>
      <c r="E875" s="181"/>
      <c r="F875" s="181"/>
    </row>
    <row r="876" spans="4:6">
      <c r="D876" s="181"/>
      <c r="E876" s="181"/>
      <c r="F876" s="181"/>
    </row>
    <row r="877" spans="4:6">
      <c r="D877" s="181"/>
      <c r="E877" s="181"/>
      <c r="F877" s="181"/>
    </row>
    <row r="878" spans="4:6">
      <c r="D878" s="181"/>
      <c r="E878" s="181"/>
      <c r="F878" s="181"/>
    </row>
    <row r="879" spans="4:6">
      <c r="D879" s="181"/>
      <c r="E879" s="181"/>
      <c r="F879" s="181"/>
    </row>
    <row r="880" spans="4:6">
      <c r="D880" s="181"/>
      <c r="E880" s="181"/>
      <c r="F880" s="181"/>
    </row>
    <row r="881" spans="4:6">
      <c r="D881" s="181"/>
      <c r="E881" s="181"/>
      <c r="F881" s="181"/>
    </row>
    <row r="882" spans="4:6">
      <c r="D882" s="181"/>
      <c r="E882" s="181"/>
      <c r="F882" s="181"/>
    </row>
    <row r="883" spans="4:6">
      <c r="D883" s="181"/>
      <c r="E883" s="181"/>
      <c r="F883" s="181"/>
    </row>
    <row r="884" spans="4:6">
      <c r="D884" s="181"/>
      <c r="E884" s="181"/>
      <c r="F884" s="181"/>
    </row>
    <row r="885" spans="4:6">
      <c r="D885" s="181"/>
      <c r="E885" s="181"/>
      <c r="F885" s="181"/>
    </row>
    <row r="886" spans="4:6">
      <c r="D886" s="181"/>
      <c r="E886" s="181"/>
      <c r="F886" s="181"/>
    </row>
    <row r="887" spans="4:6">
      <c r="D887" s="181"/>
      <c r="E887" s="181"/>
      <c r="F887" s="181"/>
    </row>
    <row r="888" spans="4:6">
      <c r="D888" s="181"/>
      <c r="E888" s="181"/>
      <c r="F888" s="181"/>
    </row>
    <row r="889" spans="4:6">
      <c r="D889" s="181"/>
      <c r="E889" s="181"/>
      <c r="F889" s="181"/>
    </row>
    <row r="890" spans="4:6">
      <c r="D890" s="181"/>
      <c r="E890" s="181"/>
      <c r="F890" s="181"/>
    </row>
    <row r="891" spans="4:6">
      <c r="D891" s="181"/>
      <c r="E891" s="181"/>
      <c r="F891" s="181"/>
    </row>
    <row r="892" spans="4:6">
      <c r="D892" s="181"/>
      <c r="E892" s="181"/>
      <c r="F892" s="181"/>
    </row>
    <row r="893" spans="4:6">
      <c r="D893" s="181"/>
      <c r="E893" s="181"/>
      <c r="F893" s="181"/>
    </row>
    <row r="894" spans="4:6">
      <c r="D894" s="181"/>
      <c r="E894" s="181"/>
      <c r="F894" s="181"/>
    </row>
    <row r="895" spans="4:6">
      <c r="D895" s="181"/>
      <c r="E895" s="181"/>
      <c r="F895" s="181"/>
    </row>
    <row r="896" spans="4:6">
      <c r="D896" s="181"/>
      <c r="E896" s="181"/>
      <c r="F896" s="181"/>
    </row>
    <row r="897" spans="4:6">
      <c r="D897" s="181"/>
      <c r="E897" s="181"/>
      <c r="F897" s="181"/>
    </row>
    <row r="898" spans="4:6">
      <c r="D898" s="181"/>
      <c r="E898" s="181"/>
      <c r="F898" s="181"/>
    </row>
    <row r="899" spans="4:6">
      <c r="D899" s="181"/>
      <c r="E899" s="181"/>
      <c r="F899" s="181"/>
    </row>
    <row r="900" spans="4:6">
      <c r="D900" s="181"/>
      <c r="E900" s="181"/>
      <c r="F900" s="181"/>
    </row>
    <row r="901" spans="4:6">
      <c r="D901" s="181"/>
      <c r="E901" s="181"/>
      <c r="F901" s="181"/>
    </row>
    <row r="902" spans="4:6">
      <c r="D902" s="181"/>
      <c r="E902" s="181"/>
      <c r="F902" s="181"/>
    </row>
    <row r="903" spans="4:6">
      <c r="D903" s="181"/>
      <c r="E903" s="181"/>
      <c r="F903" s="181"/>
    </row>
    <row r="904" spans="4:6">
      <c r="D904" s="181"/>
      <c r="E904" s="181"/>
      <c r="F904" s="181"/>
    </row>
    <row r="905" spans="4:6">
      <c r="D905" s="181"/>
      <c r="E905" s="181"/>
      <c r="F905" s="181"/>
    </row>
    <row r="906" spans="4:6">
      <c r="D906" s="181"/>
      <c r="E906" s="181"/>
      <c r="F906" s="181"/>
    </row>
    <row r="907" spans="4:6">
      <c r="D907" s="181"/>
      <c r="E907" s="181"/>
      <c r="F907" s="181"/>
    </row>
    <row r="908" spans="4:6">
      <c r="D908" s="181"/>
      <c r="E908" s="181"/>
      <c r="F908" s="181"/>
    </row>
    <row r="909" spans="4:6">
      <c r="D909" s="181"/>
      <c r="E909" s="181"/>
      <c r="F909" s="181"/>
    </row>
    <row r="910" spans="4:6">
      <c r="D910" s="181"/>
      <c r="E910" s="181"/>
      <c r="F910" s="181"/>
    </row>
    <row r="911" spans="4:6">
      <c r="D911" s="181"/>
      <c r="E911" s="181"/>
      <c r="F911" s="181"/>
    </row>
    <row r="912" spans="4:6">
      <c r="D912" s="181"/>
      <c r="E912" s="181"/>
      <c r="F912" s="181"/>
    </row>
    <row r="913" spans="4:6">
      <c r="D913" s="181"/>
      <c r="E913" s="181"/>
      <c r="F913" s="181"/>
    </row>
    <row r="914" spans="4:6">
      <c r="D914" s="181"/>
      <c r="E914" s="181"/>
      <c r="F914" s="181"/>
    </row>
    <row r="915" spans="4:6">
      <c r="D915" s="181"/>
      <c r="E915" s="181"/>
      <c r="F915" s="181"/>
    </row>
    <row r="916" spans="4:6">
      <c r="D916" s="181"/>
      <c r="E916" s="181"/>
      <c r="F916" s="181"/>
    </row>
    <row r="917" spans="4:6">
      <c r="D917" s="181"/>
      <c r="E917" s="181"/>
      <c r="F917" s="181"/>
    </row>
    <row r="918" spans="4:6">
      <c r="D918" s="181"/>
      <c r="E918" s="181"/>
      <c r="F918" s="181"/>
    </row>
    <row r="919" spans="4:6">
      <c r="D919" s="181"/>
      <c r="E919" s="181"/>
      <c r="F919" s="181"/>
    </row>
    <row r="920" spans="4:6">
      <c r="D920" s="181"/>
      <c r="E920" s="181"/>
      <c r="F920" s="181"/>
    </row>
    <row r="921" spans="4:6">
      <c r="D921" s="181"/>
      <c r="E921" s="181"/>
      <c r="F921" s="181"/>
    </row>
    <row r="922" spans="4:6">
      <c r="D922" s="181"/>
      <c r="E922" s="181"/>
      <c r="F922" s="181"/>
    </row>
    <row r="923" spans="4:6">
      <c r="D923" s="181"/>
      <c r="E923" s="181"/>
      <c r="F923" s="181"/>
    </row>
    <row r="924" spans="4:6">
      <c r="D924" s="181"/>
      <c r="E924" s="181"/>
      <c r="F924" s="181"/>
    </row>
    <row r="925" spans="4:6">
      <c r="D925" s="181"/>
      <c r="E925" s="181"/>
      <c r="F925" s="181"/>
    </row>
    <row r="926" spans="4:6">
      <c r="D926" s="181"/>
      <c r="E926" s="181"/>
      <c r="F926" s="181"/>
    </row>
    <row r="927" spans="4:6">
      <c r="D927" s="181"/>
      <c r="E927" s="181"/>
      <c r="F927" s="181"/>
    </row>
    <row r="928" spans="4:6">
      <c r="D928" s="181"/>
      <c r="E928" s="181"/>
      <c r="F928" s="181"/>
    </row>
    <row r="929" spans="4:6">
      <c r="D929" s="181"/>
      <c r="E929" s="181"/>
      <c r="F929" s="181"/>
    </row>
    <row r="930" spans="4:6">
      <c r="D930" s="181"/>
      <c r="E930" s="181"/>
      <c r="F930" s="181"/>
    </row>
    <row r="931" spans="4:6">
      <c r="D931" s="181"/>
      <c r="E931" s="181"/>
      <c r="F931" s="181"/>
    </row>
    <row r="932" spans="4:6">
      <c r="D932" s="181"/>
      <c r="E932" s="181"/>
      <c r="F932" s="181"/>
    </row>
    <row r="933" spans="4:6">
      <c r="D933" s="181"/>
      <c r="E933" s="181"/>
      <c r="F933" s="181"/>
    </row>
    <row r="934" spans="4:6">
      <c r="D934" s="181"/>
      <c r="E934" s="181"/>
      <c r="F934" s="181"/>
    </row>
    <row r="935" spans="4:6">
      <c r="D935" s="181"/>
      <c r="E935" s="181"/>
      <c r="F935" s="181"/>
    </row>
    <row r="936" spans="4:6">
      <c r="D936" s="181"/>
      <c r="E936" s="181"/>
      <c r="F936" s="181"/>
    </row>
    <row r="937" spans="4:6">
      <c r="D937" s="181"/>
      <c r="E937" s="181"/>
      <c r="F937" s="181"/>
    </row>
    <row r="938" spans="4:6">
      <c r="D938" s="181"/>
      <c r="E938" s="181"/>
      <c r="F938" s="181"/>
    </row>
    <row r="939" spans="4:6">
      <c r="D939" s="181"/>
      <c r="E939" s="181"/>
      <c r="F939" s="181"/>
    </row>
    <row r="940" spans="4:6">
      <c r="D940" s="181"/>
      <c r="E940" s="181"/>
      <c r="F940" s="181"/>
    </row>
    <row r="941" spans="4:6">
      <c r="D941" s="181"/>
      <c r="E941" s="181"/>
      <c r="F941" s="181"/>
    </row>
    <row r="942" spans="4:6">
      <c r="D942" s="181"/>
      <c r="E942" s="181"/>
      <c r="F942" s="181"/>
    </row>
    <row r="943" spans="4:6">
      <c r="D943" s="181"/>
      <c r="E943" s="181"/>
      <c r="F943" s="181"/>
    </row>
    <row r="944" spans="4:6">
      <c r="D944" s="181"/>
      <c r="E944" s="181"/>
      <c r="F944" s="181"/>
    </row>
    <row r="945" spans="4:6">
      <c r="D945" s="181"/>
      <c r="E945" s="181"/>
      <c r="F945" s="181"/>
    </row>
    <row r="946" spans="4:6">
      <c r="D946" s="181"/>
      <c r="E946" s="181"/>
      <c r="F946" s="181"/>
    </row>
    <row r="947" spans="4:6">
      <c r="D947" s="181"/>
      <c r="E947" s="181"/>
      <c r="F947" s="181"/>
    </row>
    <row r="948" spans="4:6">
      <c r="D948" s="181"/>
      <c r="E948" s="181"/>
      <c r="F948" s="181"/>
    </row>
    <row r="949" spans="4:6">
      <c r="D949" s="181"/>
      <c r="E949" s="181"/>
      <c r="F949" s="181"/>
    </row>
    <row r="950" spans="4:6">
      <c r="D950" s="181"/>
      <c r="E950" s="181"/>
      <c r="F950" s="181"/>
    </row>
    <row r="951" spans="4:6">
      <c r="D951" s="181"/>
      <c r="E951" s="181"/>
      <c r="F951" s="181"/>
    </row>
    <row r="952" spans="4:6">
      <c r="D952" s="181"/>
      <c r="E952" s="181"/>
      <c r="F952" s="181"/>
    </row>
    <row r="953" spans="4:6">
      <c r="D953" s="181"/>
      <c r="E953" s="181"/>
      <c r="F953" s="181"/>
    </row>
    <row r="954" spans="4:6">
      <c r="D954" s="181"/>
      <c r="E954" s="181"/>
      <c r="F954" s="181"/>
    </row>
    <row r="955" spans="4:6">
      <c r="D955" s="181"/>
      <c r="E955" s="181"/>
      <c r="F955" s="181"/>
    </row>
    <row r="956" spans="4:6">
      <c r="D956" s="181"/>
      <c r="E956" s="181"/>
      <c r="F956" s="181"/>
    </row>
    <row r="957" spans="4:6">
      <c r="D957" s="181"/>
      <c r="E957" s="181"/>
      <c r="F957" s="181"/>
    </row>
    <row r="958" spans="4:6">
      <c r="D958" s="181"/>
      <c r="E958" s="181"/>
      <c r="F958" s="181"/>
    </row>
    <row r="959" spans="4:6">
      <c r="D959" s="181"/>
      <c r="E959" s="181"/>
      <c r="F959" s="181"/>
    </row>
    <row r="960" spans="4:6">
      <c r="D960" s="181"/>
      <c r="E960" s="181"/>
      <c r="F960" s="181"/>
    </row>
    <row r="961" spans="4:6">
      <c r="D961" s="181"/>
      <c r="E961" s="181"/>
      <c r="F961" s="181"/>
    </row>
    <row r="962" spans="4:6">
      <c r="D962" s="181"/>
      <c r="E962" s="181"/>
      <c r="F962" s="181"/>
    </row>
    <row r="963" spans="4:6">
      <c r="D963" s="181"/>
      <c r="E963" s="181"/>
      <c r="F963" s="181"/>
    </row>
    <row r="964" spans="4:6">
      <c r="D964" s="181"/>
      <c r="E964" s="181"/>
      <c r="F964" s="181"/>
    </row>
    <row r="965" spans="4:6">
      <c r="D965" s="181"/>
      <c r="E965" s="181"/>
      <c r="F965" s="181"/>
    </row>
    <row r="966" spans="4:6">
      <c r="D966" s="181"/>
      <c r="E966" s="181"/>
      <c r="F966" s="181"/>
    </row>
    <row r="967" spans="4:6">
      <c r="D967" s="181"/>
      <c r="E967" s="181"/>
      <c r="F967" s="181"/>
    </row>
    <row r="968" spans="4:6">
      <c r="D968" s="181"/>
      <c r="E968" s="181"/>
      <c r="F968" s="181"/>
    </row>
    <row r="969" spans="4:6">
      <c r="D969" s="181"/>
      <c r="E969" s="181"/>
      <c r="F969" s="181"/>
    </row>
    <row r="970" spans="4:6">
      <c r="D970" s="181"/>
      <c r="E970" s="181"/>
      <c r="F970" s="181"/>
    </row>
    <row r="971" spans="4:6">
      <c r="D971" s="181"/>
      <c r="E971" s="181"/>
      <c r="F971" s="181"/>
    </row>
    <row r="972" spans="4:6">
      <c r="D972" s="181"/>
      <c r="E972" s="181"/>
      <c r="F972" s="181"/>
    </row>
    <row r="973" spans="4:6">
      <c r="D973" s="181"/>
      <c r="E973" s="181"/>
      <c r="F973" s="181"/>
    </row>
    <row r="974" spans="4:6">
      <c r="D974" s="181"/>
      <c r="E974" s="181"/>
      <c r="F974" s="181"/>
    </row>
    <row r="975" spans="4:6">
      <c r="D975" s="181"/>
      <c r="E975" s="181"/>
      <c r="F975" s="181"/>
    </row>
    <row r="976" spans="4:6">
      <c r="D976" s="181"/>
      <c r="E976" s="181"/>
      <c r="F976" s="181"/>
    </row>
    <row r="977" spans="4:6">
      <c r="D977" s="181"/>
      <c r="E977" s="181"/>
      <c r="F977" s="181"/>
    </row>
    <row r="978" spans="4:6">
      <c r="D978" s="181"/>
      <c r="E978" s="181"/>
      <c r="F978" s="181"/>
    </row>
    <row r="979" spans="4:6">
      <c r="D979" s="181"/>
      <c r="E979" s="181"/>
      <c r="F979" s="181"/>
    </row>
    <row r="980" spans="4:6">
      <c r="D980" s="181"/>
      <c r="E980" s="181"/>
      <c r="F980" s="181"/>
    </row>
    <row r="981" spans="4:6">
      <c r="D981" s="181"/>
      <c r="E981" s="181"/>
      <c r="F981" s="181"/>
    </row>
    <row r="982" spans="4:6">
      <c r="D982" s="181"/>
      <c r="E982" s="181"/>
      <c r="F982" s="181"/>
    </row>
    <row r="983" spans="4:6">
      <c r="D983" s="181"/>
      <c r="E983" s="181"/>
      <c r="F983" s="181"/>
    </row>
    <row r="984" spans="4:6">
      <c r="D984" s="181"/>
      <c r="E984" s="181"/>
      <c r="F984" s="181"/>
    </row>
    <row r="985" spans="4:6">
      <c r="D985" s="181"/>
      <c r="E985" s="181"/>
      <c r="F985" s="181"/>
    </row>
    <row r="986" spans="4:6">
      <c r="D986" s="181"/>
      <c r="E986" s="181"/>
      <c r="F986" s="181"/>
    </row>
    <row r="987" spans="4:6">
      <c r="D987" s="181"/>
      <c r="E987" s="181"/>
      <c r="F987" s="181"/>
    </row>
    <row r="988" spans="4:6">
      <c r="D988" s="181"/>
      <c r="E988" s="181"/>
      <c r="F988" s="181"/>
    </row>
    <row r="989" spans="4:6">
      <c r="D989" s="181"/>
      <c r="E989" s="181"/>
      <c r="F989" s="181"/>
    </row>
    <row r="990" spans="4:6">
      <c r="D990" s="181"/>
      <c r="E990" s="181"/>
      <c r="F990" s="181"/>
    </row>
    <row r="991" spans="4:6">
      <c r="D991" s="181"/>
      <c r="E991" s="181"/>
      <c r="F991" s="181"/>
    </row>
    <row r="992" spans="4:6">
      <c r="D992" s="181"/>
      <c r="E992" s="181"/>
      <c r="F992" s="181"/>
    </row>
    <row r="993" spans="4:6">
      <c r="D993" s="181"/>
      <c r="E993" s="181"/>
      <c r="F993" s="181"/>
    </row>
    <row r="994" spans="4:6">
      <c r="D994" s="181"/>
      <c r="E994" s="181"/>
      <c r="F994" s="181"/>
    </row>
    <row r="995" spans="4:6">
      <c r="D995" s="181"/>
      <c r="E995" s="181"/>
      <c r="F995" s="181"/>
    </row>
    <row r="996" spans="4:6">
      <c r="D996" s="181"/>
      <c r="E996" s="181"/>
      <c r="F996" s="181"/>
    </row>
    <row r="997" spans="4:6">
      <c r="D997" s="181"/>
      <c r="E997" s="181"/>
      <c r="F997" s="181"/>
    </row>
    <row r="998" spans="4:6">
      <c r="D998" s="181"/>
      <c r="E998" s="181"/>
      <c r="F998" s="181"/>
    </row>
    <row r="999" spans="4:6">
      <c r="D999" s="181"/>
      <c r="E999" s="181"/>
      <c r="F999" s="181"/>
    </row>
    <row r="1000" spans="4:6">
      <c r="D1000" s="181"/>
      <c r="E1000" s="181"/>
      <c r="F1000" s="181"/>
    </row>
  </sheetData>
  <customSheetViews>
    <customSheetView guid="{1EC8F930-14F4-4F68-ADDF-6F0F0EB721BA}">
      <selection activeCell="C16" sqref="C16"/>
      <pageMargins left="0" right="0" top="0" bottom="0" header="0" footer="0"/>
      <pageSetup paperSize="9" orientation="portrait" r:id="rId1"/>
      <headerFooter alignWithMargins="0"/>
    </customSheetView>
    <customSheetView guid="{97C31678-F053-4946-809D-FA0B847F2A76}">
      <selection activeCell="E6" sqref="E6"/>
      <pageMargins left="0" right="0" top="0" bottom="0" header="0" footer="0"/>
      <pageSetup paperSize="9" orientation="portrait" r:id="rId2"/>
      <headerFooter alignWithMargins="0"/>
    </customSheetView>
  </customSheetViews>
  <mergeCells count="2">
    <mergeCell ref="A1:F1"/>
    <mergeCell ref="A2:F2"/>
  </mergeCells>
  <phoneticPr fontId="50" type="noConversion"/>
  <dataValidations count="1">
    <dataValidation type="list" allowBlank="1" showInputMessage="1" showErrorMessage="1" sqref="F4:F24" xr:uid="{00000000-0002-0000-0800-000000000000}">
      <formula1>"Ready for Review,Approved,Rejected,Tested "</formula1>
    </dataValidation>
  </dataValidations>
  <pageMargins left="0.78740157499999996" right="0.78740157499999996" top="0.984251969" bottom="0.984251969" header="0.4921259845" footer="0.4921259845"/>
  <pageSetup paperSize="9" orientation="portrait" r:id="rId3"/>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5">
    <tabColor indexed="9"/>
    <pageSetUpPr fitToPage="1"/>
  </sheetPr>
  <dimension ref="A1:H56"/>
  <sheetViews>
    <sheetView showGridLines="0" topLeftCell="A12" zoomScaleSheetLayoutView="115" workbookViewId="0">
      <selection activeCell="E18" sqref="E18:E48"/>
    </sheetView>
  </sheetViews>
  <sheetFormatPr defaultColWidth="11.42578125" defaultRowHeight="12.75"/>
  <cols>
    <col min="1" max="1" width="14.5703125" style="7" customWidth="1"/>
    <col min="2" max="2" width="33.85546875" style="7" customWidth="1"/>
    <col min="3" max="3" width="25" style="7" customWidth="1"/>
    <col min="4" max="4" width="23.28515625" style="7" customWidth="1"/>
    <col min="5" max="5" width="14.7109375" style="7" customWidth="1"/>
    <col min="6" max="6" width="11.42578125" style="7" customWidth="1"/>
    <col min="7" max="16384" width="11.42578125" style="7"/>
  </cols>
  <sheetData>
    <row r="1" spans="1:8" ht="43.5" customHeight="1">
      <c r="A1" s="415" t="s">
        <v>246</v>
      </c>
      <c r="B1" s="416"/>
      <c r="C1" s="416"/>
      <c r="D1" s="416"/>
      <c r="E1" s="416"/>
      <c r="F1" s="8"/>
      <c r="G1" s="8"/>
      <c r="H1" s="8"/>
    </row>
    <row r="3" spans="1:8" ht="15.75">
      <c r="A3" s="418" t="s">
        <v>247</v>
      </c>
      <c r="B3" s="418"/>
      <c r="C3" s="418"/>
      <c r="D3" s="418"/>
      <c r="E3" s="418"/>
      <c r="F3" s="264"/>
      <c r="G3" s="264"/>
      <c r="H3" s="264"/>
    </row>
    <row r="4" spans="1:8">
      <c r="A4" s="62"/>
      <c r="B4" s="62"/>
      <c r="C4" s="62"/>
      <c r="D4" s="62"/>
      <c r="E4" s="62"/>
      <c r="F4" s="264"/>
      <c r="G4" s="264"/>
      <c r="H4" s="264"/>
    </row>
    <row r="5" spans="1:8" s="32" customFormat="1" ht="22.5">
      <c r="A5" s="265" t="s">
        <v>248</v>
      </c>
      <c r="B5" s="268" t="s">
        <v>249</v>
      </c>
      <c r="C5" s="424" t="s">
        <v>250</v>
      </c>
      <c r="D5" s="424"/>
      <c r="E5" s="424"/>
    </row>
    <row r="6" spans="1:8" ht="30" customHeight="1">
      <c r="A6" s="124"/>
      <c r="B6" s="266"/>
      <c r="C6" s="425"/>
      <c r="D6" s="425"/>
      <c r="E6" s="425"/>
      <c r="F6" s="264"/>
      <c r="G6" s="264"/>
      <c r="H6" s="264"/>
    </row>
    <row r="7" spans="1:8" ht="30" customHeight="1">
      <c r="A7" s="124"/>
      <c r="B7" s="266"/>
      <c r="C7" s="420"/>
      <c r="D7" s="421"/>
      <c r="E7" s="422"/>
      <c r="F7" s="264"/>
      <c r="G7" s="264"/>
      <c r="H7" s="264"/>
    </row>
    <row r="8" spans="1:8" ht="15.75" customHeight="1">
      <c r="A8" s="417" t="s">
        <v>251</v>
      </c>
      <c r="B8" s="417"/>
      <c r="C8" s="417"/>
      <c r="D8" s="417"/>
      <c r="E8" s="417"/>
      <c r="F8" s="264"/>
      <c r="G8" s="264"/>
      <c r="H8" s="264"/>
    </row>
    <row r="9" spans="1:8" s="257" customFormat="1" ht="26.25" customHeight="1">
      <c r="A9" s="423" t="s">
        <v>252</v>
      </c>
      <c r="B9" s="423"/>
      <c r="C9" s="423"/>
      <c r="D9" s="423"/>
      <c r="E9" s="423"/>
      <c r="F9" s="267"/>
      <c r="G9" s="267"/>
      <c r="H9" s="267"/>
    </row>
    <row r="10" spans="1:8" s="257" customFormat="1" ht="14.25" customHeight="1">
      <c r="A10" s="423" t="s">
        <v>253</v>
      </c>
      <c r="B10" s="423"/>
      <c r="C10" s="423"/>
      <c r="D10" s="423"/>
      <c r="E10" s="423"/>
      <c r="F10" s="267"/>
      <c r="G10" s="267"/>
      <c r="H10" s="267"/>
    </row>
    <row r="11" spans="1:8" ht="117.75" customHeight="1">
      <c r="A11" s="419" t="s">
        <v>567</v>
      </c>
      <c r="B11" s="419"/>
      <c r="C11" s="419"/>
      <c r="D11" s="419"/>
      <c r="E11" s="419"/>
      <c r="F11" s="264"/>
      <c r="G11" s="264"/>
      <c r="H11" s="264"/>
    </row>
    <row r="13" spans="1:8" ht="15.75">
      <c r="A13" s="401" t="s">
        <v>246</v>
      </c>
      <c r="B13" s="401"/>
      <c r="C13" s="401"/>
      <c r="D13" s="401"/>
      <c r="E13" s="401"/>
      <c r="F13" s="264"/>
      <c r="G13" s="264"/>
      <c r="H13" s="264"/>
    </row>
    <row r="14" spans="1:8" s="230" customFormat="1" ht="58.9" customHeight="1">
      <c r="A14" s="430" t="s">
        <v>254</v>
      </c>
      <c r="B14" s="430"/>
      <c r="C14" s="430"/>
      <c r="D14" s="430"/>
      <c r="E14" s="430"/>
    </row>
    <row r="15" spans="1:8" s="225" customFormat="1" ht="13.9" customHeight="1">
      <c r="A15" s="229" t="s">
        <v>255</v>
      </c>
      <c r="B15" s="228"/>
      <c r="C15" s="228"/>
      <c r="D15" s="228"/>
      <c r="E15" s="228"/>
      <c r="F15" s="264"/>
      <c r="G15" s="264"/>
      <c r="H15" s="264"/>
    </row>
    <row r="17" spans="1:8" ht="30" customHeight="1">
      <c r="A17" s="431" t="s">
        <v>256</v>
      </c>
      <c r="B17" s="431"/>
      <c r="C17" s="431"/>
      <c r="D17" s="431"/>
      <c r="E17" s="265" t="s">
        <v>257</v>
      </c>
      <c r="F17" s="264"/>
      <c r="G17" s="264"/>
      <c r="H17" s="264"/>
    </row>
    <row r="18" spans="1:8" s="178" customFormat="1" ht="27" customHeight="1">
      <c r="A18" s="426" t="s">
        <v>256</v>
      </c>
      <c r="B18" s="427"/>
      <c r="C18" s="411" t="s">
        <v>747</v>
      </c>
      <c r="D18" s="412"/>
      <c r="E18" s="288"/>
      <c r="F18" s="181"/>
      <c r="G18" s="181"/>
      <c r="H18" s="181"/>
    </row>
    <row r="19" spans="1:8" s="331" customFormat="1" ht="34.5" customHeight="1">
      <c r="A19" s="428"/>
      <c r="B19" s="429"/>
      <c r="C19" s="394" t="s">
        <v>258</v>
      </c>
      <c r="D19" s="395"/>
      <c r="E19" s="288"/>
      <c r="F19" s="181"/>
      <c r="G19" s="181"/>
      <c r="H19" s="181"/>
    </row>
    <row r="20" spans="1:8" s="180" customFormat="1" ht="23.45" customHeight="1">
      <c r="A20" s="432" t="s">
        <v>259</v>
      </c>
      <c r="B20" s="433"/>
      <c r="C20" s="411" t="s">
        <v>260</v>
      </c>
      <c r="D20" s="412"/>
      <c r="E20" s="288"/>
      <c r="F20" s="181"/>
      <c r="G20" s="181"/>
      <c r="H20" s="181"/>
    </row>
    <row r="21" spans="1:8" s="260" customFormat="1" ht="23.45" customHeight="1">
      <c r="A21" s="426" t="s">
        <v>261</v>
      </c>
      <c r="B21" s="427"/>
      <c r="C21" s="394" t="s">
        <v>262</v>
      </c>
      <c r="D21" s="395"/>
      <c r="E21" s="288"/>
      <c r="F21" s="181"/>
      <c r="G21" s="181"/>
      <c r="H21" s="181"/>
    </row>
    <row r="22" spans="1:8" s="260" customFormat="1" ht="37.15" customHeight="1">
      <c r="A22" s="434"/>
      <c r="B22" s="435"/>
      <c r="C22" s="411" t="s">
        <v>263</v>
      </c>
      <c r="D22" s="411"/>
      <c r="E22" s="288"/>
      <c r="F22" s="181"/>
      <c r="G22" s="181"/>
      <c r="H22" s="181"/>
    </row>
    <row r="23" spans="1:8" s="260" customFormat="1" ht="24.75" customHeight="1">
      <c r="A23" s="428"/>
      <c r="B23" s="429"/>
      <c r="C23" s="411" t="s">
        <v>264</v>
      </c>
      <c r="D23" s="411"/>
      <c r="E23" s="288"/>
      <c r="F23" s="181"/>
      <c r="G23" s="181"/>
      <c r="H23" s="181"/>
    </row>
    <row r="24" spans="1:8" s="260" customFormat="1" ht="24" customHeight="1">
      <c r="A24" s="426" t="s">
        <v>265</v>
      </c>
      <c r="B24" s="427"/>
      <c r="C24" s="394" t="s">
        <v>266</v>
      </c>
      <c r="D24" s="395"/>
      <c r="E24" s="288"/>
      <c r="F24" s="181"/>
      <c r="G24" s="181"/>
      <c r="H24" s="181"/>
    </row>
    <row r="25" spans="1:8" s="260" customFormat="1" ht="33.75" customHeight="1">
      <c r="A25" s="434"/>
      <c r="B25" s="435"/>
      <c r="C25" s="394" t="s">
        <v>267</v>
      </c>
      <c r="D25" s="395"/>
      <c r="E25" s="288"/>
      <c r="F25" s="181"/>
      <c r="G25" s="181"/>
      <c r="H25" s="181"/>
    </row>
    <row r="26" spans="1:8" s="260" customFormat="1" ht="22.5" customHeight="1">
      <c r="A26" s="428"/>
      <c r="B26" s="429"/>
      <c r="C26" s="394" t="s">
        <v>268</v>
      </c>
      <c r="D26" s="395"/>
      <c r="E26" s="288"/>
      <c r="F26" s="181"/>
      <c r="G26" s="181"/>
      <c r="H26" s="181"/>
    </row>
    <row r="27" spans="1:8" s="182" customFormat="1" ht="33" customHeight="1">
      <c r="A27" s="390" t="s">
        <v>269</v>
      </c>
      <c r="B27" s="391"/>
      <c r="C27" s="394" t="s">
        <v>270</v>
      </c>
      <c r="D27" s="395"/>
      <c r="E27" s="288"/>
      <c r="F27" s="181"/>
      <c r="G27" s="181"/>
      <c r="H27" s="181"/>
    </row>
    <row r="28" spans="1:8" ht="30" customHeight="1">
      <c r="A28" s="392"/>
      <c r="B28" s="393"/>
      <c r="C28" s="411" t="s">
        <v>271</v>
      </c>
      <c r="D28" s="412"/>
      <c r="E28" s="288"/>
      <c r="F28" s="264"/>
      <c r="G28" s="264"/>
      <c r="H28" s="264"/>
    </row>
    <row r="29" spans="1:8" s="185" customFormat="1" ht="12.75" customHeight="1">
      <c r="A29" s="390" t="s">
        <v>272</v>
      </c>
      <c r="B29" s="391"/>
      <c r="C29" s="411" t="s">
        <v>273</v>
      </c>
      <c r="D29" s="412"/>
      <c r="E29" s="288"/>
      <c r="F29" s="264"/>
      <c r="G29" s="264"/>
      <c r="H29" s="264"/>
    </row>
    <row r="30" spans="1:8" s="295" customFormat="1" ht="33.75" customHeight="1">
      <c r="A30" s="392"/>
      <c r="B30" s="393"/>
      <c r="C30" s="394" t="s">
        <v>560</v>
      </c>
      <c r="D30" s="395"/>
      <c r="E30" s="242"/>
    </row>
    <row r="31" spans="1:8" s="222" customFormat="1" ht="67.5" customHeight="1">
      <c r="A31" s="390" t="s">
        <v>274</v>
      </c>
      <c r="B31" s="391"/>
      <c r="C31" s="407" t="s">
        <v>275</v>
      </c>
      <c r="D31" s="408"/>
      <c r="E31" s="242"/>
      <c r="F31" s="264"/>
      <c r="G31" s="264"/>
      <c r="H31" s="264"/>
    </row>
    <row r="32" spans="1:8" ht="157.9" customHeight="1">
      <c r="A32" s="405"/>
      <c r="B32" s="406"/>
      <c r="C32" s="409" t="s">
        <v>276</v>
      </c>
      <c r="D32" s="410"/>
      <c r="E32" s="242"/>
      <c r="F32" s="264"/>
      <c r="G32" s="264"/>
      <c r="H32" s="264"/>
    </row>
    <row r="33" spans="1:8" ht="47.25" customHeight="1">
      <c r="A33" s="405"/>
      <c r="B33" s="406"/>
      <c r="C33" s="409" t="s">
        <v>277</v>
      </c>
      <c r="D33" s="410"/>
      <c r="E33" s="242"/>
      <c r="F33" s="264"/>
      <c r="G33" s="264"/>
      <c r="H33" s="264"/>
    </row>
    <row r="34" spans="1:8" s="254" customFormat="1" ht="48" customHeight="1">
      <c r="A34" s="405"/>
      <c r="B34" s="406"/>
      <c r="C34" s="413" t="s">
        <v>278</v>
      </c>
      <c r="D34" s="414"/>
      <c r="E34" s="242"/>
      <c r="F34" s="264"/>
      <c r="G34" s="264"/>
      <c r="H34" s="264"/>
    </row>
    <row r="35" spans="1:8" s="254" customFormat="1" ht="23.45" customHeight="1">
      <c r="A35" s="405"/>
      <c r="B35" s="406"/>
      <c r="C35" s="413" t="s">
        <v>279</v>
      </c>
      <c r="D35" s="414"/>
      <c r="E35" s="242"/>
      <c r="F35" s="264"/>
      <c r="G35" s="264"/>
      <c r="H35" s="264"/>
    </row>
    <row r="36" spans="1:8" s="260" customFormat="1" ht="22.9" customHeight="1">
      <c r="A36" s="405"/>
      <c r="B36" s="406"/>
      <c r="C36" s="411" t="s">
        <v>280</v>
      </c>
      <c r="D36" s="412"/>
      <c r="E36" s="242"/>
      <c r="F36" s="264"/>
      <c r="G36" s="264"/>
      <c r="H36" s="264"/>
    </row>
    <row r="37" spans="1:8" s="260" customFormat="1" ht="76.900000000000006" customHeight="1">
      <c r="A37" s="405"/>
      <c r="B37" s="406"/>
      <c r="C37" s="394" t="s">
        <v>281</v>
      </c>
      <c r="D37" s="395"/>
      <c r="E37" s="242"/>
      <c r="F37" s="264"/>
      <c r="G37" s="264"/>
      <c r="H37" s="264"/>
    </row>
    <row r="38" spans="1:8" s="184" customFormat="1" ht="32.450000000000003" customHeight="1">
      <c r="A38" s="405"/>
      <c r="B38" s="406"/>
      <c r="C38" s="411" t="s">
        <v>282</v>
      </c>
      <c r="D38" s="412"/>
      <c r="E38" s="242"/>
      <c r="F38" s="264"/>
      <c r="G38" s="264"/>
      <c r="H38" s="264"/>
    </row>
    <row r="39" spans="1:8" s="227" customFormat="1" ht="29.25" customHeight="1">
      <c r="A39" s="405"/>
      <c r="B39" s="406"/>
      <c r="C39" s="394" t="s">
        <v>283</v>
      </c>
      <c r="D39" s="395"/>
      <c r="E39" s="242"/>
      <c r="F39" s="264"/>
      <c r="G39" s="264"/>
      <c r="H39" s="264"/>
    </row>
    <row r="40" spans="1:8" s="227" customFormat="1" ht="35.25" customHeight="1">
      <c r="A40" s="405"/>
      <c r="B40" s="406"/>
      <c r="C40" s="394" t="s">
        <v>284</v>
      </c>
      <c r="D40" s="395"/>
      <c r="E40" s="242"/>
      <c r="F40" s="264"/>
      <c r="G40" s="264"/>
      <c r="H40" s="264"/>
    </row>
    <row r="41" spans="1:8" s="143" customFormat="1">
      <c r="A41" s="405"/>
      <c r="B41" s="406"/>
      <c r="C41" s="394" t="s">
        <v>285</v>
      </c>
      <c r="D41" s="395"/>
      <c r="E41" s="288"/>
      <c r="F41" s="264"/>
      <c r="G41" s="264"/>
      <c r="H41" s="264"/>
    </row>
    <row r="42" spans="1:8" s="142" customFormat="1" ht="33.75" customHeight="1">
      <c r="A42" s="405"/>
      <c r="B42" s="406"/>
      <c r="C42" s="394" t="s">
        <v>286</v>
      </c>
      <c r="D42" s="395"/>
      <c r="E42" s="288"/>
      <c r="F42" s="264"/>
      <c r="G42" s="264"/>
      <c r="H42" s="264"/>
    </row>
    <row r="43" spans="1:8" s="241" customFormat="1" ht="33.75" customHeight="1">
      <c r="A43" s="405"/>
      <c r="B43" s="406"/>
      <c r="C43" s="394" t="s">
        <v>287</v>
      </c>
      <c r="D43" s="395"/>
      <c r="E43" s="288"/>
      <c r="F43" s="264"/>
      <c r="G43" s="264"/>
      <c r="H43" s="264"/>
    </row>
    <row r="44" spans="1:8" s="289" customFormat="1" ht="77.45" customHeight="1">
      <c r="A44" s="405"/>
      <c r="B44" s="406"/>
      <c r="C44" s="394" t="s">
        <v>569</v>
      </c>
      <c r="D44" s="395"/>
      <c r="E44" s="288"/>
    </row>
    <row r="45" spans="1:8" s="256" customFormat="1" ht="58.5" customHeight="1">
      <c r="A45" s="405"/>
      <c r="B45" s="406"/>
      <c r="C45" s="399" t="s">
        <v>288</v>
      </c>
      <c r="D45" s="400"/>
      <c r="E45" s="288"/>
      <c r="F45" s="264"/>
      <c r="G45" s="264"/>
      <c r="H45" s="264"/>
    </row>
    <row r="46" spans="1:8" s="256" customFormat="1" ht="53.45" customHeight="1">
      <c r="A46" s="405"/>
      <c r="B46" s="406"/>
      <c r="C46" s="396" t="s">
        <v>289</v>
      </c>
      <c r="D46" s="397"/>
      <c r="E46" s="288"/>
      <c r="F46" s="287"/>
      <c r="G46" s="264"/>
      <c r="H46" s="264"/>
    </row>
    <row r="47" spans="1:8" s="330" customFormat="1" ht="45.6" customHeight="1">
      <c r="A47" s="405"/>
      <c r="B47" s="406"/>
      <c r="C47" s="396" t="s">
        <v>748</v>
      </c>
      <c r="D47" s="397"/>
      <c r="E47" s="288"/>
      <c r="F47" s="287"/>
    </row>
    <row r="48" spans="1:8" s="142" customFormat="1" ht="161.44999999999999" customHeight="1">
      <c r="A48" s="392"/>
      <c r="B48" s="393"/>
      <c r="C48" s="399" t="s">
        <v>290</v>
      </c>
      <c r="D48" s="400"/>
      <c r="E48" s="288"/>
      <c r="F48" s="264"/>
      <c r="G48" s="264"/>
      <c r="H48" s="264"/>
    </row>
    <row r="49" spans="1:8" ht="22.5" customHeight="1">
      <c r="A49" s="402" t="s">
        <v>291</v>
      </c>
      <c r="B49" s="402"/>
      <c r="C49" s="402"/>
      <c r="D49" s="402"/>
      <c r="E49" s="402"/>
      <c r="F49" s="264"/>
      <c r="G49" s="264"/>
      <c r="H49" s="264"/>
    </row>
    <row r="51" spans="1:8" ht="15.75">
      <c r="A51" s="401" t="s">
        <v>292</v>
      </c>
      <c r="B51" s="401"/>
      <c r="C51" s="401"/>
      <c r="D51" s="401"/>
      <c r="E51" s="401"/>
      <c r="F51" s="264"/>
      <c r="G51" s="264"/>
      <c r="H51" s="264"/>
    </row>
    <row r="52" spans="1:8">
      <c r="A52" s="398"/>
      <c r="B52" s="398"/>
      <c r="C52" s="398"/>
      <c r="D52" s="398"/>
      <c r="E52" s="398"/>
      <c r="F52" s="264"/>
      <c r="G52" s="264"/>
      <c r="H52" s="264"/>
    </row>
    <row r="53" spans="1:8">
      <c r="A53" s="404"/>
      <c r="B53" s="404"/>
      <c r="C53" s="404"/>
      <c r="D53" s="404"/>
      <c r="E53" s="404"/>
    </row>
    <row r="55" spans="1:8" ht="15.75">
      <c r="A55" s="403" t="s">
        <v>293</v>
      </c>
      <c r="B55" s="401"/>
      <c r="C55" s="401"/>
      <c r="D55" s="401"/>
      <c r="E55" s="401"/>
    </row>
    <row r="56" spans="1:8">
      <c r="A56" s="398"/>
      <c r="B56" s="398"/>
      <c r="C56" s="398"/>
      <c r="D56" s="398"/>
      <c r="E56" s="398"/>
    </row>
  </sheetData>
  <customSheetViews>
    <customSheetView guid="{1EC8F930-14F4-4F68-ADDF-6F0F0EB721BA}" showGridLines="0" fitToPage="1" topLeftCell="A20">
      <selection activeCell="A26" sqref="A26:E26"/>
      <pageMargins left="0" right="0" top="0" bottom="0" header="0" footer="0"/>
      <printOptions horizontalCentered="1"/>
      <pageSetup paperSize="9" scale="82" orientation="portrait"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howGridLines="0" fitToPage="1" topLeftCell="A20">
      <selection activeCell="A26" sqref="A26:E26"/>
      <pageMargins left="0" right="0" top="0" bottom="0" header="0" footer="0"/>
      <printOptions horizontalCentered="1"/>
      <pageSetup paperSize="9" scale="82" orientation="portrait"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56">
    <mergeCell ref="A18:B19"/>
    <mergeCell ref="C19:D19"/>
    <mergeCell ref="C47:D47"/>
    <mergeCell ref="A14:E14"/>
    <mergeCell ref="A17:D17"/>
    <mergeCell ref="C28:D28"/>
    <mergeCell ref="C18:D18"/>
    <mergeCell ref="A20:B20"/>
    <mergeCell ref="C23:D23"/>
    <mergeCell ref="A24:B26"/>
    <mergeCell ref="C24:D24"/>
    <mergeCell ref="C25:D25"/>
    <mergeCell ref="C26:D26"/>
    <mergeCell ref="C20:D20"/>
    <mergeCell ref="A21:B23"/>
    <mergeCell ref="A27:B28"/>
    <mergeCell ref="A1:E1"/>
    <mergeCell ref="A8:E8"/>
    <mergeCell ref="A3:E3"/>
    <mergeCell ref="A13:E13"/>
    <mergeCell ref="A11:E11"/>
    <mergeCell ref="C7:E7"/>
    <mergeCell ref="A9:E9"/>
    <mergeCell ref="C5:E5"/>
    <mergeCell ref="C6:E6"/>
    <mergeCell ref="A10:E10"/>
    <mergeCell ref="C41:D41"/>
    <mergeCell ref="C45:D45"/>
    <mergeCell ref="C38:D38"/>
    <mergeCell ref="C37:D37"/>
    <mergeCell ref="C21:D21"/>
    <mergeCell ref="C22:D22"/>
    <mergeCell ref="C40:D40"/>
    <mergeCell ref="C36:D36"/>
    <mergeCell ref="C39:D39"/>
    <mergeCell ref="C34:D34"/>
    <mergeCell ref="C35:D35"/>
    <mergeCell ref="C29:D29"/>
    <mergeCell ref="C30:D30"/>
    <mergeCell ref="C27:D27"/>
    <mergeCell ref="A29:B30"/>
    <mergeCell ref="C44:D44"/>
    <mergeCell ref="C46:D46"/>
    <mergeCell ref="C43:D43"/>
    <mergeCell ref="A56:E56"/>
    <mergeCell ref="A52:E52"/>
    <mergeCell ref="C48:D48"/>
    <mergeCell ref="A51:E51"/>
    <mergeCell ref="A49:E49"/>
    <mergeCell ref="A55:E55"/>
    <mergeCell ref="A53:E53"/>
    <mergeCell ref="A31:B48"/>
    <mergeCell ref="C31:D31"/>
    <mergeCell ref="C32:D32"/>
    <mergeCell ref="C33:D33"/>
    <mergeCell ref="C42:D42"/>
  </mergeCells>
  <phoneticPr fontId="50" type="noConversion"/>
  <conditionalFormatting sqref="C21">
    <cfRule type="expression" dxfId="3" priority="4">
      <formula>COUNTIF($E$18, "Yes") &gt;0</formula>
    </cfRule>
  </conditionalFormatting>
  <conditionalFormatting sqref="C23">
    <cfRule type="expression" dxfId="2" priority="3">
      <formula>COUNTIF($E$21, "Yes") &gt;0</formula>
    </cfRule>
  </conditionalFormatting>
  <conditionalFormatting sqref="C22:D23">
    <cfRule type="expression" dxfId="1" priority="2">
      <formula>COUNTIF($E$21, "Yes") &gt;0</formula>
    </cfRule>
  </conditionalFormatting>
  <conditionalFormatting sqref="C25:D26">
    <cfRule type="expression" dxfId="0" priority="1">
      <formula>COUNTIF($E$24, "Yes") &gt;0</formula>
    </cfRule>
  </conditionalFormatting>
  <hyperlinks>
    <hyperlink ref="A15" r:id="rId3" xr:uid="{00000000-0004-0000-0900-000000000000}"/>
  </hyperlinks>
  <printOptions horizontalCentered="1"/>
  <pageMargins left="0.78740157480314965" right="0.39370078740157483" top="0.78" bottom="0.82677165354330717" header="0.19685039370078741" footer="0.31496062992125984"/>
  <pageSetup paperSize="9" scale="82" orientation="portrait" r:id="rId4"/>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3">
    <tabColor indexed="9"/>
  </sheetPr>
  <dimension ref="A1:YC83"/>
  <sheetViews>
    <sheetView topLeftCell="A25" workbookViewId="0">
      <selection activeCell="C19" sqref="C19:D19"/>
    </sheetView>
  </sheetViews>
  <sheetFormatPr defaultColWidth="11.42578125" defaultRowHeight="12.75"/>
  <cols>
    <col min="1" max="1" width="14.5703125" style="7" customWidth="1"/>
    <col min="2" max="2" width="31.5703125" style="7" customWidth="1"/>
    <col min="3" max="3" width="25" style="7" customWidth="1"/>
    <col min="4" max="4" width="23.85546875" style="7" customWidth="1"/>
    <col min="5" max="5" width="14.7109375" style="7" customWidth="1"/>
    <col min="6" max="6" width="13.140625" style="7" customWidth="1"/>
    <col min="7" max="16384" width="11.42578125" style="7"/>
  </cols>
  <sheetData>
    <row r="1" spans="1:10" s="105" customFormat="1" ht="43.5" customHeight="1">
      <c r="A1" s="415" t="s">
        <v>294</v>
      </c>
      <c r="B1" s="415"/>
      <c r="C1" s="415"/>
      <c r="D1" s="415"/>
      <c r="E1" s="415"/>
      <c r="F1" s="104"/>
      <c r="G1" s="104"/>
      <c r="H1" s="104"/>
      <c r="I1" s="104"/>
      <c r="J1" s="104"/>
    </row>
    <row r="2" spans="1:10" s="105" customFormat="1">
      <c r="A2" s="267"/>
      <c r="B2" s="267"/>
      <c r="C2" s="267"/>
      <c r="D2" s="267"/>
      <c r="E2" s="267"/>
      <c r="F2" s="267"/>
      <c r="G2" s="267"/>
      <c r="H2" s="267"/>
      <c r="I2" s="267"/>
      <c r="J2" s="267"/>
    </row>
    <row r="3" spans="1:10" s="105" customFormat="1" ht="15.75">
      <c r="A3" s="459" t="s">
        <v>247</v>
      </c>
      <c r="B3" s="459"/>
      <c r="C3" s="459"/>
      <c r="D3" s="459"/>
      <c r="E3" s="459"/>
      <c r="F3" s="267"/>
      <c r="G3" s="267"/>
      <c r="H3" s="267"/>
      <c r="I3" s="267"/>
      <c r="J3" s="267"/>
    </row>
    <row r="4" spans="1:10" s="105" customFormat="1">
      <c r="A4" s="106"/>
      <c r="B4" s="106"/>
      <c r="C4" s="106"/>
      <c r="D4" s="106"/>
      <c r="E4" s="106"/>
      <c r="F4" s="267"/>
      <c r="G4" s="267"/>
      <c r="H4" s="267"/>
      <c r="I4" s="267"/>
      <c r="J4" s="267"/>
    </row>
    <row r="5" spans="1:10" s="107" customFormat="1" ht="22.5">
      <c r="A5" s="265" t="s">
        <v>248</v>
      </c>
      <c r="B5" s="268" t="s">
        <v>249</v>
      </c>
      <c r="C5" s="291" t="s">
        <v>250</v>
      </c>
      <c r="D5" s="291" t="s">
        <v>557</v>
      </c>
      <c r="E5" s="265" t="s">
        <v>295</v>
      </c>
      <c r="F5" s="291" t="s">
        <v>556</v>
      </c>
    </row>
    <row r="6" spans="1:10" s="105" customFormat="1" ht="30" customHeight="1">
      <c r="A6" s="124"/>
      <c r="B6" s="269"/>
      <c r="C6" s="294"/>
      <c r="D6" s="296"/>
      <c r="E6" s="123"/>
      <c r="F6" s="123"/>
      <c r="G6" s="267"/>
      <c r="H6" s="267"/>
      <c r="I6" s="267"/>
      <c r="J6" s="267"/>
    </row>
    <row r="7" spans="1:10" s="105" customFormat="1" ht="30" customHeight="1">
      <c r="A7" s="124"/>
      <c r="B7" s="269"/>
      <c r="C7" s="294"/>
      <c r="D7" s="296"/>
      <c r="E7" s="123"/>
      <c r="F7" s="123"/>
      <c r="G7" s="267"/>
      <c r="H7" s="267"/>
      <c r="I7" s="267"/>
      <c r="J7" s="267"/>
    </row>
    <row r="8" spans="1:10" s="105" customFormat="1" ht="15.75" customHeight="1">
      <c r="A8" s="460" t="s">
        <v>296</v>
      </c>
      <c r="B8" s="460"/>
      <c r="C8" s="460"/>
      <c r="D8" s="460"/>
      <c r="E8" s="460"/>
      <c r="F8" s="267"/>
      <c r="G8" s="267"/>
      <c r="H8" s="267"/>
      <c r="I8" s="267"/>
      <c r="J8" s="267"/>
    </row>
    <row r="9" spans="1:10" s="105" customFormat="1" ht="16.5" customHeight="1">
      <c r="A9" s="108"/>
      <c r="B9" s="109"/>
      <c r="C9" s="109"/>
      <c r="D9" s="109"/>
      <c r="E9" s="109"/>
      <c r="F9" s="267"/>
      <c r="G9" s="267"/>
      <c r="H9" s="267"/>
      <c r="I9" s="267"/>
      <c r="J9" s="267"/>
    </row>
    <row r="10" spans="1:10" s="190" customFormat="1" ht="143.25" customHeight="1">
      <c r="A10" s="419" t="s">
        <v>568</v>
      </c>
      <c r="B10" s="419"/>
      <c r="C10" s="419"/>
      <c r="D10" s="419"/>
      <c r="E10" s="419"/>
      <c r="F10" s="267"/>
      <c r="G10" s="267"/>
      <c r="H10" s="267"/>
      <c r="I10" s="267"/>
      <c r="J10" s="267"/>
    </row>
    <row r="11" spans="1:10" s="105" customFormat="1">
      <c r="A11" s="267"/>
      <c r="B11" s="267"/>
      <c r="C11" s="267"/>
      <c r="D11" s="267"/>
      <c r="E11" s="267"/>
      <c r="F11" s="267"/>
      <c r="G11" s="267"/>
      <c r="H11" s="267"/>
      <c r="I11" s="267"/>
      <c r="J11" s="267"/>
    </row>
    <row r="12" spans="1:10" s="105" customFormat="1" ht="15.75">
      <c r="A12" s="437" t="s">
        <v>294</v>
      </c>
      <c r="B12" s="437"/>
      <c r="C12" s="437"/>
      <c r="D12" s="437"/>
      <c r="E12" s="437"/>
      <c r="F12" s="267"/>
      <c r="G12" s="267"/>
      <c r="H12" s="267"/>
      <c r="I12" s="267"/>
      <c r="J12" s="267"/>
    </row>
    <row r="13" spans="1:10" s="226" customFormat="1" ht="45.6" customHeight="1">
      <c r="A13" s="430" t="s">
        <v>297</v>
      </c>
      <c r="B13" s="430"/>
      <c r="C13" s="430"/>
      <c r="D13" s="430"/>
      <c r="E13" s="430"/>
      <c r="F13" s="267"/>
      <c r="G13" s="267"/>
      <c r="H13" s="267"/>
      <c r="I13" s="267"/>
      <c r="J13" s="267"/>
    </row>
    <row r="14" spans="1:10" s="105" customFormat="1">
      <c r="A14" s="229" t="s">
        <v>298</v>
      </c>
      <c r="B14" s="267"/>
      <c r="C14" s="267"/>
      <c r="D14" s="267"/>
      <c r="E14" s="267"/>
      <c r="F14" s="267"/>
      <c r="G14" s="267"/>
      <c r="H14" s="267"/>
      <c r="I14" s="267"/>
      <c r="J14" s="267"/>
    </row>
    <row r="15" spans="1:10" s="105" customFormat="1" ht="46.15" customHeight="1">
      <c r="A15" s="457" t="s">
        <v>299</v>
      </c>
      <c r="B15" s="458"/>
      <c r="C15" s="458"/>
      <c r="D15" s="458"/>
      <c r="E15" s="265" t="s">
        <v>300</v>
      </c>
      <c r="F15" s="267"/>
      <c r="G15" s="267"/>
      <c r="H15" s="267"/>
      <c r="I15" s="267"/>
      <c r="J15" s="267"/>
    </row>
    <row r="16" spans="1:10" s="186" customFormat="1" ht="39.75" customHeight="1">
      <c r="A16" s="455"/>
      <c r="B16" s="456"/>
      <c r="C16" s="445" t="s">
        <v>301</v>
      </c>
      <c r="D16" s="446"/>
      <c r="E16" s="122"/>
      <c r="F16" s="267"/>
      <c r="G16" s="267"/>
      <c r="H16" s="267"/>
      <c r="I16" s="267"/>
      <c r="J16" s="267"/>
    </row>
    <row r="17" spans="1:653" s="105" customFormat="1" ht="30" customHeight="1">
      <c r="A17" s="440" t="s">
        <v>302</v>
      </c>
      <c r="B17" s="441"/>
      <c r="C17" s="442" t="s">
        <v>303</v>
      </c>
      <c r="D17" s="443"/>
      <c r="E17" s="122"/>
    </row>
    <row r="18" spans="1:653" s="105" customFormat="1" ht="27" customHeight="1">
      <c r="A18" s="449" t="s">
        <v>304</v>
      </c>
      <c r="B18" s="450"/>
      <c r="C18" s="411" t="s">
        <v>305</v>
      </c>
      <c r="D18" s="412"/>
      <c r="E18" s="122"/>
    </row>
    <row r="19" spans="1:653" s="105" customFormat="1" ht="30" customHeight="1">
      <c r="A19" s="451"/>
      <c r="B19" s="452"/>
      <c r="C19" s="445" t="s">
        <v>306</v>
      </c>
      <c r="D19" s="446"/>
      <c r="E19" s="122"/>
    </row>
    <row r="20" spans="1:653" s="105" customFormat="1">
      <c r="A20" s="451"/>
      <c r="B20" s="452"/>
      <c r="C20" s="445" t="s">
        <v>307</v>
      </c>
      <c r="D20" s="446"/>
      <c r="E20" s="122"/>
    </row>
    <row r="21" spans="1:653" s="239" customFormat="1" ht="33.75" customHeight="1">
      <c r="A21" s="451"/>
      <c r="B21" s="452"/>
      <c r="C21" s="394" t="s">
        <v>308</v>
      </c>
      <c r="D21" s="395"/>
      <c r="E21" s="122"/>
    </row>
    <row r="22" spans="1:653" s="239" customFormat="1" ht="54.6" customHeight="1">
      <c r="A22" s="451"/>
      <c r="B22" s="452"/>
      <c r="C22" s="394" t="s">
        <v>309</v>
      </c>
      <c r="D22" s="395"/>
      <c r="E22" s="121"/>
    </row>
    <row r="23" spans="1:653" s="239" customFormat="1" ht="43.9" customHeight="1">
      <c r="A23" s="451"/>
      <c r="B23" s="452"/>
      <c r="C23" s="396" t="s">
        <v>310</v>
      </c>
      <c r="D23" s="397"/>
      <c r="E23" s="121"/>
    </row>
    <row r="24" spans="1:653" s="289" customFormat="1" ht="33.75" customHeight="1">
      <c r="A24" s="451"/>
      <c r="B24" s="452"/>
      <c r="C24" s="394" t="s">
        <v>558</v>
      </c>
      <c r="D24" s="395"/>
      <c r="E24" s="288"/>
      <c r="F24" s="329"/>
      <c r="G24" s="329"/>
      <c r="H24" s="329"/>
      <c r="I24" s="329"/>
      <c r="J24" s="329"/>
      <c r="K24" s="329"/>
      <c r="L24" s="329"/>
      <c r="M24" s="329"/>
      <c r="N24" s="329"/>
      <c r="O24" s="329"/>
      <c r="P24" s="329"/>
      <c r="Q24" s="329"/>
      <c r="R24" s="329"/>
      <c r="S24" s="329"/>
      <c r="T24" s="329"/>
      <c r="U24" s="329"/>
      <c r="V24" s="329"/>
      <c r="W24" s="329"/>
      <c r="X24" s="329"/>
      <c r="Y24" s="329"/>
      <c r="Z24" s="329"/>
      <c r="AA24" s="329"/>
      <c r="AB24" s="329"/>
      <c r="AC24" s="329"/>
      <c r="AD24" s="329"/>
      <c r="AE24" s="329"/>
      <c r="AF24" s="329"/>
      <c r="AG24" s="329"/>
      <c r="AH24" s="329"/>
      <c r="AI24" s="329"/>
      <c r="AJ24" s="329"/>
      <c r="AK24" s="329"/>
      <c r="AL24" s="329"/>
      <c r="AM24" s="329"/>
      <c r="AN24" s="329"/>
      <c r="AO24" s="329"/>
      <c r="AP24" s="329"/>
      <c r="AQ24" s="329"/>
      <c r="AR24" s="329"/>
      <c r="AS24" s="329"/>
      <c r="AT24" s="329"/>
      <c r="AU24" s="329"/>
      <c r="AV24" s="329"/>
      <c r="AW24" s="329"/>
      <c r="AX24" s="329"/>
      <c r="AY24" s="329"/>
      <c r="AZ24" s="329"/>
      <c r="BA24" s="329"/>
      <c r="BB24" s="329"/>
      <c r="BC24" s="329"/>
      <c r="BD24" s="329"/>
      <c r="BE24" s="329"/>
      <c r="BF24" s="329"/>
      <c r="BG24" s="329"/>
      <c r="BH24" s="329"/>
      <c r="BI24" s="329"/>
      <c r="BJ24" s="329"/>
      <c r="BK24" s="329"/>
      <c r="BL24" s="329"/>
      <c r="BM24" s="329"/>
      <c r="BN24" s="329"/>
      <c r="BO24" s="329"/>
      <c r="BP24" s="329"/>
      <c r="BQ24" s="329"/>
      <c r="BR24" s="329"/>
      <c r="BS24" s="329"/>
      <c r="BT24" s="329"/>
      <c r="BU24" s="329"/>
      <c r="BV24" s="329"/>
      <c r="BW24" s="329"/>
      <c r="BX24" s="329"/>
      <c r="BY24" s="329"/>
      <c r="BZ24" s="329"/>
      <c r="CA24" s="329"/>
      <c r="CB24" s="329"/>
      <c r="CC24" s="329"/>
      <c r="CD24" s="329"/>
      <c r="CE24" s="329"/>
      <c r="CF24" s="329"/>
      <c r="CG24" s="329"/>
      <c r="CH24" s="329"/>
      <c r="CI24" s="329"/>
      <c r="CJ24" s="329"/>
      <c r="CK24" s="329"/>
      <c r="CL24" s="329"/>
      <c r="CM24" s="329"/>
      <c r="CN24" s="329"/>
      <c r="CO24" s="329"/>
      <c r="CP24" s="329"/>
      <c r="CQ24" s="329"/>
      <c r="CR24" s="329"/>
      <c r="CS24" s="329"/>
      <c r="CT24" s="329"/>
      <c r="CU24" s="329"/>
      <c r="CV24" s="329"/>
      <c r="CW24" s="329"/>
      <c r="CX24" s="329"/>
      <c r="CY24" s="329"/>
      <c r="CZ24" s="329"/>
      <c r="DA24" s="329"/>
      <c r="DB24" s="329"/>
      <c r="DC24" s="329"/>
      <c r="DD24" s="329"/>
      <c r="DE24" s="329"/>
      <c r="DF24" s="329"/>
      <c r="DG24" s="329"/>
      <c r="DH24" s="329"/>
      <c r="DI24" s="329"/>
      <c r="DJ24" s="329"/>
      <c r="DK24" s="329"/>
      <c r="DL24" s="329"/>
      <c r="DM24" s="329"/>
      <c r="DN24" s="329"/>
      <c r="DO24" s="329"/>
      <c r="DP24" s="329"/>
      <c r="DQ24" s="329"/>
      <c r="DR24" s="329"/>
      <c r="DS24" s="329"/>
      <c r="DT24" s="329"/>
      <c r="DU24" s="329"/>
      <c r="DV24" s="329"/>
      <c r="DW24" s="329"/>
      <c r="DX24" s="329"/>
      <c r="DY24" s="329"/>
      <c r="DZ24" s="329"/>
      <c r="EA24" s="329"/>
      <c r="EB24" s="329"/>
      <c r="EC24" s="329"/>
      <c r="ED24" s="329"/>
      <c r="EE24" s="329"/>
      <c r="EF24" s="329"/>
      <c r="EG24" s="329"/>
      <c r="EH24" s="329"/>
      <c r="EI24" s="329"/>
      <c r="EJ24" s="329"/>
      <c r="EK24" s="329"/>
      <c r="EL24" s="329"/>
      <c r="EM24" s="329"/>
      <c r="EN24" s="329"/>
      <c r="EO24" s="329"/>
      <c r="EP24" s="329"/>
      <c r="EQ24" s="329"/>
      <c r="ER24" s="329"/>
      <c r="ES24" s="329"/>
      <c r="ET24" s="329"/>
      <c r="EU24" s="329"/>
      <c r="EV24" s="329"/>
      <c r="EW24" s="329"/>
      <c r="EX24" s="329"/>
      <c r="EY24" s="329"/>
      <c r="EZ24" s="329"/>
      <c r="FA24" s="329"/>
      <c r="FB24" s="329"/>
      <c r="FC24" s="329"/>
      <c r="FD24" s="329"/>
      <c r="FE24" s="329"/>
      <c r="FF24" s="329"/>
      <c r="FG24" s="329"/>
      <c r="FH24" s="329"/>
      <c r="FI24" s="329"/>
      <c r="FJ24" s="329"/>
      <c r="FK24" s="329"/>
      <c r="FL24" s="329"/>
      <c r="FM24" s="329"/>
      <c r="FN24" s="329"/>
      <c r="FO24" s="329"/>
      <c r="FP24" s="329"/>
      <c r="FQ24" s="329"/>
      <c r="FR24" s="329"/>
      <c r="FS24" s="329"/>
      <c r="FT24" s="329"/>
      <c r="FU24" s="329"/>
      <c r="FV24" s="329"/>
      <c r="FW24" s="329"/>
      <c r="FX24" s="329"/>
      <c r="FY24" s="329"/>
      <c r="FZ24" s="329"/>
      <c r="GA24" s="329"/>
      <c r="GB24" s="329"/>
      <c r="GC24" s="329"/>
      <c r="GD24" s="329"/>
      <c r="GE24" s="329"/>
      <c r="GF24" s="329"/>
      <c r="GG24" s="329"/>
      <c r="GH24" s="329"/>
      <c r="GI24" s="329"/>
      <c r="GJ24" s="329"/>
      <c r="GK24" s="329"/>
      <c r="GL24" s="329"/>
      <c r="GM24" s="329"/>
      <c r="GN24" s="329"/>
      <c r="GO24" s="329"/>
      <c r="GP24" s="329"/>
      <c r="GQ24" s="329"/>
      <c r="GR24" s="329"/>
      <c r="GS24" s="329"/>
      <c r="GT24" s="329"/>
      <c r="GU24" s="329"/>
      <c r="GV24" s="329"/>
      <c r="GW24" s="329"/>
      <c r="GX24" s="329"/>
      <c r="GY24" s="329"/>
      <c r="GZ24" s="329"/>
      <c r="HA24" s="329"/>
      <c r="HB24" s="329"/>
      <c r="HC24" s="329"/>
      <c r="HD24" s="329"/>
      <c r="HE24" s="329"/>
      <c r="HF24" s="329"/>
      <c r="HG24" s="329"/>
      <c r="HH24" s="329"/>
      <c r="HI24" s="329"/>
      <c r="HJ24" s="329"/>
      <c r="HK24" s="329"/>
      <c r="HL24" s="329"/>
      <c r="HM24" s="329"/>
      <c r="HN24" s="329"/>
      <c r="HO24" s="329"/>
      <c r="HP24" s="329"/>
      <c r="HQ24" s="329"/>
      <c r="HR24" s="329"/>
      <c r="HS24" s="329"/>
      <c r="HT24" s="329"/>
      <c r="HU24" s="329"/>
      <c r="HV24" s="329"/>
      <c r="HW24" s="329"/>
      <c r="HX24" s="329"/>
      <c r="HY24" s="329"/>
      <c r="HZ24" s="329"/>
      <c r="IA24" s="329"/>
      <c r="IB24" s="329"/>
      <c r="IC24" s="329"/>
      <c r="ID24" s="329"/>
      <c r="IE24" s="329"/>
      <c r="IF24" s="329"/>
      <c r="IG24" s="329"/>
      <c r="IH24" s="329"/>
      <c r="II24" s="329"/>
      <c r="IJ24" s="329"/>
      <c r="IK24" s="329"/>
      <c r="IL24" s="329"/>
      <c r="IM24" s="329"/>
      <c r="IN24" s="329"/>
      <c r="IO24" s="329"/>
      <c r="IP24" s="329"/>
      <c r="IQ24" s="329"/>
      <c r="IR24" s="329"/>
      <c r="IS24" s="329"/>
      <c r="IT24" s="329"/>
      <c r="IU24" s="329"/>
      <c r="IV24" s="329"/>
      <c r="IW24" s="329"/>
      <c r="IX24" s="329"/>
      <c r="IY24" s="329"/>
      <c r="IZ24" s="329"/>
      <c r="JA24" s="329"/>
      <c r="JB24" s="329"/>
      <c r="JC24" s="329"/>
      <c r="JD24" s="329"/>
      <c r="JE24" s="329"/>
      <c r="JF24" s="329"/>
      <c r="JG24" s="329"/>
      <c r="JH24" s="329"/>
      <c r="JI24" s="329"/>
      <c r="JJ24" s="329"/>
      <c r="JK24" s="329"/>
      <c r="JL24" s="329"/>
      <c r="JM24" s="329"/>
      <c r="JN24" s="329"/>
      <c r="JO24" s="329"/>
      <c r="JP24" s="329"/>
      <c r="JQ24" s="329"/>
      <c r="JR24" s="329"/>
      <c r="JS24" s="329"/>
      <c r="JT24" s="329"/>
      <c r="JU24" s="329"/>
      <c r="JV24" s="329"/>
      <c r="JW24" s="329"/>
      <c r="JX24" s="329"/>
      <c r="JY24" s="329"/>
      <c r="JZ24" s="329"/>
      <c r="KA24" s="329"/>
      <c r="KB24" s="329"/>
      <c r="KC24" s="329"/>
      <c r="KD24" s="329"/>
      <c r="KE24" s="329"/>
      <c r="KF24" s="329"/>
      <c r="KG24" s="329"/>
      <c r="KH24" s="329"/>
      <c r="KI24" s="329"/>
      <c r="KJ24" s="329"/>
      <c r="KK24" s="329"/>
      <c r="KL24" s="329"/>
      <c r="KM24" s="329"/>
      <c r="KN24" s="329"/>
      <c r="KO24" s="329"/>
      <c r="KP24" s="329"/>
      <c r="KQ24" s="329"/>
      <c r="KR24" s="329"/>
      <c r="KS24" s="329"/>
      <c r="KT24" s="329"/>
      <c r="KU24" s="329"/>
      <c r="KV24" s="329"/>
      <c r="KW24" s="329"/>
      <c r="KX24" s="329"/>
      <c r="KY24" s="329"/>
      <c r="KZ24" s="329"/>
      <c r="LA24" s="329"/>
      <c r="LB24" s="329"/>
      <c r="LC24" s="329"/>
      <c r="LD24" s="329"/>
      <c r="LE24" s="329"/>
      <c r="LF24" s="329"/>
      <c r="LG24" s="329"/>
      <c r="LH24" s="329"/>
      <c r="LI24" s="329"/>
      <c r="LJ24" s="329"/>
      <c r="LK24" s="329"/>
      <c r="LL24" s="329"/>
      <c r="LM24" s="329"/>
      <c r="LN24" s="329"/>
      <c r="LO24" s="329"/>
      <c r="LP24" s="329"/>
      <c r="LQ24" s="329"/>
      <c r="LR24" s="329"/>
      <c r="LS24" s="329"/>
      <c r="LT24" s="329"/>
      <c r="LU24" s="329"/>
      <c r="LV24" s="329"/>
      <c r="LW24" s="329"/>
      <c r="LX24" s="329"/>
      <c r="LY24" s="329"/>
      <c r="LZ24" s="329"/>
      <c r="MA24" s="329"/>
      <c r="MB24" s="329"/>
      <c r="MC24" s="329"/>
      <c r="MD24" s="329"/>
      <c r="ME24" s="329"/>
      <c r="MF24" s="329"/>
      <c r="MG24" s="329"/>
      <c r="MH24" s="329"/>
      <c r="MI24" s="329"/>
      <c r="MJ24" s="329"/>
      <c r="MK24" s="329"/>
      <c r="ML24" s="329"/>
      <c r="MM24" s="329"/>
      <c r="MN24" s="329"/>
      <c r="MO24" s="329"/>
      <c r="MP24" s="329"/>
      <c r="MQ24" s="329"/>
      <c r="MR24" s="329"/>
      <c r="MS24" s="329"/>
      <c r="MT24" s="329"/>
      <c r="MU24" s="329"/>
      <c r="MV24" s="329"/>
      <c r="MW24" s="329"/>
      <c r="MX24" s="329"/>
      <c r="MY24" s="329"/>
      <c r="MZ24" s="329"/>
      <c r="NA24" s="329"/>
      <c r="NB24" s="329"/>
      <c r="NC24" s="329"/>
      <c r="ND24" s="329"/>
      <c r="NE24" s="329"/>
      <c r="NF24" s="329"/>
      <c r="NG24" s="329"/>
      <c r="NH24" s="329"/>
      <c r="NI24" s="329"/>
      <c r="NJ24" s="329"/>
      <c r="NK24" s="329"/>
      <c r="NL24" s="329"/>
      <c r="NM24" s="329"/>
      <c r="NN24" s="329"/>
      <c r="NO24" s="329"/>
      <c r="NP24" s="329"/>
      <c r="NQ24" s="329"/>
      <c r="NR24" s="329"/>
      <c r="NS24" s="329"/>
      <c r="NT24" s="329"/>
      <c r="NU24" s="329"/>
      <c r="NV24" s="329"/>
      <c r="NW24" s="329"/>
      <c r="NX24" s="329"/>
      <c r="NY24" s="329"/>
      <c r="NZ24" s="329"/>
      <c r="OA24" s="329"/>
      <c r="OB24" s="329"/>
      <c r="OC24" s="329"/>
      <c r="OD24" s="329"/>
      <c r="OE24" s="329"/>
      <c r="OF24" s="329"/>
      <c r="OG24" s="329"/>
      <c r="OH24" s="329"/>
      <c r="OI24" s="329"/>
      <c r="OJ24" s="329"/>
      <c r="OK24" s="329"/>
      <c r="OL24" s="329"/>
      <c r="OM24" s="329"/>
      <c r="ON24" s="329"/>
      <c r="OO24" s="329"/>
      <c r="OP24" s="329"/>
      <c r="OQ24" s="329"/>
      <c r="OR24" s="329"/>
      <c r="OS24" s="329"/>
      <c r="OT24" s="329"/>
      <c r="OU24" s="329"/>
      <c r="OV24" s="329"/>
      <c r="OW24" s="329"/>
      <c r="OX24" s="329"/>
      <c r="OY24" s="329"/>
      <c r="OZ24" s="329"/>
      <c r="PA24" s="329"/>
      <c r="PB24" s="329"/>
      <c r="PC24" s="329"/>
      <c r="PD24" s="329"/>
      <c r="PE24" s="329"/>
      <c r="PF24" s="329"/>
      <c r="PG24" s="329"/>
      <c r="PH24" s="329"/>
      <c r="PI24" s="329"/>
      <c r="PJ24" s="329"/>
      <c r="PK24" s="329"/>
      <c r="PL24" s="329"/>
      <c r="PM24" s="329"/>
      <c r="PN24" s="329"/>
      <c r="PO24" s="329"/>
      <c r="PP24" s="329"/>
      <c r="PQ24" s="329"/>
      <c r="PR24" s="329"/>
      <c r="PS24" s="329"/>
      <c r="PT24" s="329"/>
      <c r="PU24" s="329"/>
      <c r="PV24" s="329"/>
      <c r="PW24" s="329"/>
      <c r="PX24" s="329"/>
      <c r="PY24" s="329"/>
      <c r="PZ24" s="329"/>
      <c r="QA24" s="329"/>
      <c r="QB24" s="329"/>
      <c r="QC24" s="329"/>
      <c r="QD24" s="329"/>
      <c r="QE24" s="329"/>
      <c r="QF24" s="329"/>
      <c r="QG24" s="329"/>
      <c r="QH24" s="329"/>
      <c r="QI24" s="329"/>
      <c r="QJ24" s="329"/>
      <c r="QK24" s="329"/>
      <c r="QL24" s="329"/>
      <c r="QM24" s="329"/>
      <c r="QN24" s="329"/>
      <c r="QO24" s="329"/>
      <c r="QP24" s="329"/>
      <c r="QQ24" s="329"/>
      <c r="QR24" s="329"/>
      <c r="QS24" s="329"/>
      <c r="QT24" s="329"/>
      <c r="QU24" s="329"/>
      <c r="QV24" s="329"/>
      <c r="QW24" s="329"/>
      <c r="QX24" s="329"/>
      <c r="QY24" s="329"/>
      <c r="QZ24" s="329"/>
      <c r="RA24" s="329"/>
      <c r="RB24" s="329"/>
      <c r="RC24" s="329"/>
      <c r="RD24" s="329"/>
      <c r="RE24" s="329"/>
      <c r="RF24" s="329"/>
      <c r="RG24" s="329"/>
      <c r="RH24" s="329"/>
      <c r="RI24" s="329"/>
      <c r="RJ24" s="329"/>
      <c r="RK24" s="329"/>
      <c r="RL24" s="329"/>
      <c r="RM24" s="329"/>
      <c r="RN24" s="329"/>
      <c r="RO24" s="329"/>
      <c r="RP24" s="329"/>
      <c r="RQ24" s="329"/>
      <c r="RR24" s="329"/>
      <c r="RS24" s="329"/>
      <c r="RT24" s="329"/>
      <c r="RU24" s="329"/>
      <c r="RV24" s="329"/>
      <c r="RW24" s="329"/>
      <c r="RX24" s="329"/>
      <c r="RY24" s="329"/>
      <c r="RZ24" s="329"/>
      <c r="SA24" s="329"/>
      <c r="SB24" s="329"/>
      <c r="SC24" s="329"/>
      <c r="SD24" s="329"/>
      <c r="SE24" s="329"/>
      <c r="SF24" s="329"/>
      <c r="SG24" s="329"/>
      <c r="SH24" s="329"/>
      <c r="SI24" s="329"/>
      <c r="SJ24" s="329"/>
      <c r="SK24" s="329"/>
      <c r="SL24" s="329"/>
      <c r="SM24" s="329"/>
      <c r="SN24" s="329"/>
      <c r="SO24" s="329"/>
      <c r="SP24" s="329"/>
      <c r="SQ24" s="329"/>
      <c r="SR24" s="329"/>
      <c r="SS24" s="329"/>
      <c r="ST24" s="329"/>
      <c r="SU24" s="329"/>
      <c r="SV24" s="329"/>
      <c r="SW24" s="329"/>
      <c r="SX24" s="329"/>
      <c r="SY24" s="329"/>
      <c r="SZ24" s="329"/>
      <c r="TA24" s="329"/>
      <c r="TB24" s="329"/>
      <c r="TC24" s="329"/>
      <c r="TD24" s="329"/>
      <c r="TE24" s="329"/>
      <c r="TF24" s="329"/>
      <c r="TG24" s="329"/>
      <c r="TH24" s="329"/>
      <c r="TI24" s="329"/>
      <c r="TJ24" s="329"/>
      <c r="TK24" s="329"/>
      <c r="TL24" s="329"/>
      <c r="TM24" s="329"/>
      <c r="TN24" s="329"/>
      <c r="TO24" s="329"/>
      <c r="TP24" s="329"/>
      <c r="TQ24" s="329"/>
      <c r="TR24" s="329"/>
      <c r="TS24" s="329"/>
      <c r="TT24" s="329"/>
      <c r="TU24" s="329"/>
      <c r="TV24" s="329"/>
      <c r="TW24" s="329"/>
      <c r="TX24" s="329"/>
      <c r="TY24" s="329"/>
      <c r="TZ24" s="329"/>
      <c r="UA24" s="329"/>
      <c r="UB24" s="329"/>
      <c r="UC24" s="329"/>
      <c r="UD24" s="329"/>
      <c r="UE24" s="329"/>
      <c r="UF24" s="329"/>
      <c r="UG24" s="329"/>
      <c r="UH24" s="329"/>
      <c r="UI24" s="329"/>
      <c r="UJ24" s="329"/>
      <c r="UK24" s="329"/>
      <c r="UL24" s="329"/>
      <c r="UM24" s="329"/>
      <c r="UN24" s="329"/>
      <c r="UO24" s="329"/>
      <c r="UP24" s="329"/>
      <c r="UQ24" s="329"/>
      <c r="UR24" s="329"/>
      <c r="US24" s="329"/>
      <c r="UT24" s="329"/>
      <c r="UU24" s="329"/>
      <c r="UV24" s="329"/>
      <c r="UW24" s="329"/>
      <c r="UX24" s="329"/>
      <c r="UY24" s="329"/>
      <c r="UZ24" s="329"/>
      <c r="VA24" s="329"/>
      <c r="VB24" s="329"/>
      <c r="VC24" s="329"/>
      <c r="VD24" s="329"/>
      <c r="VE24" s="329"/>
      <c r="VF24" s="329"/>
      <c r="VG24" s="329"/>
      <c r="VH24" s="329"/>
      <c r="VI24" s="329"/>
      <c r="VJ24" s="329"/>
      <c r="VK24" s="329"/>
      <c r="VL24" s="329"/>
      <c r="VM24" s="329"/>
      <c r="VN24" s="329"/>
      <c r="VO24" s="329"/>
      <c r="VP24" s="329"/>
      <c r="VQ24" s="329"/>
      <c r="VR24" s="329"/>
      <c r="VS24" s="329"/>
      <c r="VT24" s="329"/>
      <c r="VU24" s="329"/>
      <c r="VV24" s="329"/>
      <c r="VW24" s="329"/>
      <c r="VX24" s="329"/>
      <c r="VY24" s="329"/>
      <c r="VZ24" s="329"/>
      <c r="WA24" s="329"/>
      <c r="WB24" s="329"/>
      <c r="WC24" s="329"/>
      <c r="WD24" s="329"/>
      <c r="WE24" s="329"/>
      <c r="WF24" s="329"/>
      <c r="WG24" s="329"/>
      <c r="WH24" s="329"/>
      <c r="WI24" s="329"/>
      <c r="WJ24" s="329"/>
      <c r="WK24" s="329"/>
      <c r="WL24" s="329"/>
      <c r="WM24" s="329"/>
      <c r="WN24" s="329"/>
      <c r="WO24" s="329"/>
      <c r="WP24" s="329"/>
      <c r="WQ24" s="329"/>
      <c r="WR24" s="329"/>
      <c r="WS24" s="329"/>
      <c r="WT24" s="329"/>
      <c r="WU24" s="329"/>
      <c r="WV24" s="329"/>
      <c r="WW24" s="329"/>
      <c r="WX24" s="329"/>
      <c r="WY24" s="329"/>
      <c r="WZ24" s="329"/>
      <c r="XA24" s="329"/>
      <c r="XB24" s="329"/>
      <c r="XC24" s="329"/>
      <c r="XD24" s="329"/>
      <c r="XE24" s="329"/>
      <c r="XF24" s="329"/>
      <c r="XG24" s="329"/>
      <c r="XH24" s="329"/>
      <c r="XI24" s="329"/>
      <c r="XJ24" s="329"/>
      <c r="XK24" s="329"/>
      <c r="XL24" s="329"/>
      <c r="XM24" s="329"/>
      <c r="XN24" s="329"/>
      <c r="XO24" s="329"/>
      <c r="XP24" s="329"/>
      <c r="XQ24" s="329"/>
      <c r="XR24" s="329"/>
      <c r="XS24" s="329"/>
      <c r="XT24" s="329"/>
      <c r="XU24" s="329"/>
      <c r="XV24" s="329"/>
      <c r="XW24" s="329"/>
      <c r="XX24" s="329"/>
      <c r="XY24" s="329"/>
      <c r="XZ24" s="329"/>
      <c r="YA24" s="329"/>
      <c r="YB24" s="329"/>
      <c r="YC24" s="329"/>
    </row>
    <row r="25" spans="1:653" s="239" customFormat="1" ht="60" customHeight="1">
      <c r="A25" s="451"/>
      <c r="B25" s="452"/>
      <c r="C25" s="396" t="s">
        <v>311</v>
      </c>
      <c r="D25" s="397"/>
      <c r="E25" s="121"/>
      <c r="F25" s="329"/>
      <c r="G25" s="329"/>
      <c r="H25" s="329"/>
      <c r="I25" s="329"/>
      <c r="J25" s="329"/>
      <c r="K25" s="329"/>
      <c r="L25" s="329"/>
      <c r="M25" s="329"/>
      <c r="N25" s="329"/>
      <c r="O25" s="329"/>
      <c r="P25" s="329"/>
      <c r="Q25" s="329"/>
      <c r="R25" s="329"/>
      <c r="S25" s="329"/>
      <c r="T25" s="329"/>
      <c r="U25" s="329"/>
      <c r="V25" s="329"/>
      <c r="W25" s="329"/>
      <c r="X25" s="329"/>
      <c r="Y25" s="329"/>
      <c r="Z25" s="329"/>
      <c r="AA25" s="329"/>
      <c r="AB25" s="329"/>
      <c r="AC25" s="329"/>
      <c r="AD25" s="329"/>
      <c r="AE25" s="329"/>
      <c r="AF25" s="329"/>
      <c r="AG25" s="329"/>
      <c r="AH25" s="329"/>
      <c r="AI25" s="329"/>
      <c r="AJ25" s="329"/>
      <c r="AK25" s="329"/>
      <c r="AL25" s="329"/>
      <c r="AM25" s="329"/>
      <c r="AN25" s="329"/>
      <c r="AO25" s="329"/>
      <c r="AP25" s="329"/>
      <c r="AQ25" s="329"/>
      <c r="AR25" s="329"/>
      <c r="AS25" s="329"/>
      <c r="AT25" s="329"/>
      <c r="AU25" s="329"/>
      <c r="AV25" s="329"/>
      <c r="AW25" s="329"/>
      <c r="AX25" s="329"/>
      <c r="AY25" s="329"/>
      <c r="AZ25" s="329"/>
      <c r="BA25" s="329"/>
      <c r="BB25" s="329"/>
      <c r="BC25" s="329"/>
      <c r="BD25" s="329"/>
      <c r="BE25" s="329"/>
      <c r="BF25" s="329"/>
      <c r="BG25" s="329"/>
      <c r="BH25" s="329"/>
      <c r="BI25" s="329"/>
      <c r="BJ25" s="329"/>
      <c r="BK25" s="329"/>
      <c r="BL25" s="329"/>
      <c r="BM25" s="329"/>
      <c r="BN25" s="329"/>
      <c r="BO25" s="329"/>
      <c r="BP25" s="329"/>
      <c r="BQ25" s="329"/>
      <c r="BR25" s="329"/>
      <c r="BS25" s="329"/>
      <c r="BT25" s="329"/>
      <c r="BU25" s="329"/>
      <c r="BV25" s="329"/>
      <c r="BW25" s="329"/>
      <c r="BX25" s="329"/>
      <c r="BY25" s="329"/>
      <c r="BZ25" s="329"/>
      <c r="CA25" s="329"/>
      <c r="CB25" s="329"/>
      <c r="CC25" s="329"/>
      <c r="CD25" s="329"/>
      <c r="CE25" s="329"/>
      <c r="CF25" s="329"/>
      <c r="CG25" s="329"/>
      <c r="CH25" s="329"/>
      <c r="CI25" s="329"/>
      <c r="CJ25" s="329"/>
      <c r="CK25" s="329"/>
      <c r="CL25" s="329"/>
      <c r="CM25" s="329"/>
      <c r="CN25" s="329"/>
      <c r="CO25" s="329"/>
      <c r="CP25" s="329"/>
      <c r="CQ25" s="329"/>
      <c r="CR25" s="329"/>
      <c r="CS25" s="329"/>
      <c r="CT25" s="329"/>
      <c r="CU25" s="329"/>
      <c r="CV25" s="329"/>
      <c r="CW25" s="329"/>
      <c r="CX25" s="329"/>
      <c r="CY25" s="329"/>
      <c r="CZ25" s="329"/>
      <c r="DA25" s="329"/>
      <c r="DB25" s="329"/>
      <c r="DC25" s="329"/>
      <c r="DD25" s="329"/>
      <c r="DE25" s="329"/>
      <c r="DF25" s="329"/>
      <c r="DG25" s="329"/>
      <c r="DH25" s="329"/>
      <c r="DI25" s="329"/>
      <c r="DJ25" s="329"/>
      <c r="DK25" s="329"/>
      <c r="DL25" s="329"/>
      <c r="DM25" s="329"/>
      <c r="DN25" s="329"/>
      <c r="DO25" s="329"/>
      <c r="DP25" s="329"/>
      <c r="DQ25" s="329"/>
      <c r="DR25" s="329"/>
      <c r="DS25" s="329"/>
      <c r="DT25" s="329"/>
      <c r="DU25" s="329"/>
      <c r="DV25" s="329"/>
      <c r="DW25" s="329"/>
      <c r="DX25" s="329"/>
      <c r="DY25" s="329"/>
      <c r="DZ25" s="329"/>
      <c r="EA25" s="329"/>
      <c r="EB25" s="329"/>
      <c r="EC25" s="329"/>
      <c r="ED25" s="329"/>
      <c r="EE25" s="329"/>
      <c r="EF25" s="329"/>
      <c r="EG25" s="329"/>
      <c r="EH25" s="329"/>
      <c r="EI25" s="329"/>
      <c r="EJ25" s="329"/>
      <c r="EK25" s="329"/>
      <c r="EL25" s="329"/>
      <c r="EM25" s="329"/>
      <c r="EN25" s="329"/>
      <c r="EO25" s="329"/>
      <c r="EP25" s="329"/>
      <c r="EQ25" s="329"/>
      <c r="ER25" s="329"/>
      <c r="ES25" s="329"/>
      <c r="ET25" s="329"/>
      <c r="EU25" s="329"/>
      <c r="EV25" s="329"/>
      <c r="EW25" s="329"/>
      <c r="EX25" s="329"/>
      <c r="EY25" s="329"/>
      <c r="EZ25" s="329"/>
      <c r="FA25" s="329"/>
      <c r="FB25" s="329"/>
      <c r="FC25" s="329"/>
      <c r="FD25" s="329"/>
      <c r="FE25" s="329"/>
      <c r="FF25" s="329"/>
      <c r="FG25" s="329"/>
      <c r="FH25" s="329"/>
      <c r="FI25" s="329"/>
      <c r="FJ25" s="329"/>
      <c r="FK25" s="329"/>
      <c r="FL25" s="329"/>
      <c r="FM25" s="329"/>
      <c r="FN25" s="329"/>
      <c r="FO25" s="329"/>
      <c r="FP25" s="329"/>
      <c r="FQ25" s="329"/>
      <c r="FR25" s="329"/>
      <c r="FS25" s="329"/>
      <c r="FT25" s="329"/>
      <c r="FU25" s="329"/>
      <c r="FV25" s="329"/>
      <c r="FW25" s="329"/>
      <c r="FX25" s="329"/>
      <c r="FY25" s="329"/>
      <c r="FZ25" s="329"/>
      <c r="GA25" s="329"/>
      <c r="GB25" s="329"/>
      <c r="GC25" s="329"/>
      <c r="GD25" s="329"/>
      <c r="GE25" s="329"/>
      <c r="GF25" s="329"/>
      <c r="GG25" s="329"/>
      <c r="GH25" s="329"/>
      <c r="GI25" s="329"/>
      <c r="GJ25" s="329"/>
      <c r="GK25" s="329"/>
      <c r="GL25" s="329"/>
      <c r="GM25" s="329"/>
      <c r="GN25" s="329"/>
      <c r="GO25" s="329"/>
      <c r="GP25" s="329"/>
      <c r="GQ25" s="329"/>
      <c r="GR25" s="329"/>
      <c r="GS25" s="329"/>
      <c r="GT25" s="329"/>
      <c r="GU25" s="329"/>
      <c r="GV25" s="329"/>
      <c r="GW25" s="329"/>
      <c r="GX25" s="329"/>
      <c r="GY25" s="329"/>
      <c r="GZ25" s="329"/>
      <c r="HA25" s="329"/>
      <c r="HB25" s="329"/>
      <c r="HC25" s="329"/>
      <c r="HD25" s="329"/>
      <c r="HE25" s="329"/>
      <c r="HF25" s="329"/>
      <c r="HG25" s="329"/>
      <c r="HH25" s="329"/>
      <c r="HI25" s="329"/>
      <c r="HJ25" s="329"/>
      <c r="HK25" s="329"/>
      <c r="HL25" s="329"/>
      <c r="HM25" s="329"/>
      <c r="HN25" s="329"/>
      <c r="HO25" s="329"/>
      <c r="HP25" s="329"/>
      <c r="HQ25" s="329"/>
      <c r="HR25" s="329"/>
      <c r="HS25" s="329"/>
      <c r="HT25" s="329"/>
      <c r="HU25" s="329"/>
      <c r="HV25" s="329"/>
      <c r="HW25" s="329"/>
      <c r="HX25" s="329"/>
      <c r="HY25" s="329"/>
      <c r="HZ25" s="329"/>
      <c r="IA25" s="329"/>
      <c r="IB25" s="329"/>
      <c r="IC25" s="329"/>
      <c r="ID25" s="329"/>
      <c r="IE25" s="329"/>
      <c r="IF25" s="329"/>
      <c r="IG25" s="329"/>
      <c r="IH25" s="329"/>
      <c r="II25" s="329"/>
      <c r="IJ25" s="329"/>
      <c r="IK25" s="329"/>
      <c r="IL25" s="329"/>
      <c r="IM25" s="329"/>
      <c r="IN25" s="329"/>
      <c r="IO25" s="329"/>
      <c r="IP25" s="329"/>
      <c r="IQ25" s="329"/>
      <c r="IR25" s="329"/>
      <c r="IS25" s="329"/>
      <c r="IT25" s="329"/>
      <c r="IU25" s="329"/>
      <c r="IV25" s="329"/>
      <c r="IW25" s="329"/>
      <c r="IX25" s="329"/>
      <c r="IY25" s="329"/>
      <c r="IZ25" s="329"/>
      <c r="JA25" s="329"/>
      <c r="JB25" s="329"/>
      <c r="JC25" s="329"/>
      <c r="JD25" s="329"/>
      <c r="JE25" s="329"/>
      <c r="JF25" s="329"/>
      <c r="JG25" s="329"/>
      <c r="JH25" s="329"/>
      <c r="JI25" s="329"/>
      <c r="JJ25" s="329"/>
      <c r="JK25" s="329"/>
      <c r="JL25" s="329"/>
      <c r="JM25" s="329"/>
      <c r="JN25" s="329"/>
      <c r="JO25" s="329"/>
      <c r="JP25" s="329"/>
      <c r="JQ25" s="329"/>
      <c r="JR25" s="329"/>
      <c r="JS25" s="329"/>
      <c r="JT25" s="329"/>
      <c r="JU25" s="329"/>
      <c r="JV25" s="329"/>
      <c r="JW25" s="329"/>
      <c r="JX25" s="329"/>
      <c r="JY25" s="329"/>
      <c r="JZ25" s="329"/>
      <c r="KA25" s="329"/>
      <c r="KB25" s="329"/>
      <c r="KC25" s="329"/>
      <c r="KD25" s="329"/>
      <c r="KE25" s="329"/>
      <c r="KF25" s="329"/>
      <c r="KG25" s="329"/>
      <c r="KH25" s="329"/>
      <c r="KI25" s="329"/>
      <c r="KJ25" s="329"/>
      <c r="KK25" s="329"/>
      <c r="KL25" s="329"/>
      <c r="KM25" s="329"/>
      <c r="KN25" s="329"/>
      <c r="KO25" s="329"/>
      <c r="KP25" s="329"/>
      <c r="KQ25" s="329"/>
      <c r="KR25" s="329"/>
      <c r="KS25" s="329"/>
      <c r="KT25" s="329"/>
      <c r="KU25" s="329"/>
      <c r="KV25" s="329"/>
      <c r="KW25" s="329"/>
      <c r="KX25" s="329"/>
      <c r="KY25" s="329"/>
      <c r="KZ25" s="329"/>
      <c r="LA25" s="329"/>
      <c r="LB25" s="329"/>
      <c r="LC25" s="329"/>
      <c r="LD25" s="329"/>
      <c r="LE25" s="329"/>
      <c r="LF25" s="329"/>
      <c r="LG25" s="329"/>
      <c r="LH25" s="329"/>
      <c r="LI25" s="329"/>
      <c r="LJ25" s="329"/>
      <c r="LK25" s="329"/>
      <c r="LL25" s="329"/>
      <c r="LM25" s="329"/>
      <c r="LN25" s="329"/>
      <c r="LO25" s="329"/>
      <c r="LP25" s="329"/>
      <c r="LQ25" s="329"/>
      <c r="LR25" s="329"/>
      <c r="LS25" s="329"/>
      <c r="LT25" s="329"/>
      <c r="LU25" s="329"/>
      <c r="LV25" s="329"/>
      <c r="LW25" s="329"/>
      <c r="LX25" s="329"/>
      <c r="LY25" s="329"/>
      <c r="LZ25" s="329"/>
      <c r="MA25" s="329"/>
      <c r="MB25" s="329"/>
      <c r="MC25" s="329"/>
      <c r="MD25" s="329"/>
      <c r="ME25" s="329"/>
      <c r="MF25" s="329"/>
      <c r="MG25" s="329"/>
      <c r="MH25" s="329"/>
      <c r="MI25" s="329"/>
      <c r="MJ25" s="329"/>
      <c r="MK25" s="329"/>
      <c r="ML25" s="329"/>
      <c r="MM25" s="329"/>
      <c r="MN25" s="329"/>
      <c r="MO25" s="329"/>
      <c r="MP25" s="329"/>
      <c r="MQ25" s="329"/>
      <c r="MR25" s="329"/>
      <c r="MS25" s="329"/>
      <c r="MT25" s="329"/>
      <c r="MU25" s="329"/>
      <c r="MV25" s="329"/>
      <c r="MW25" s="329"/>
      <c r="MX25" s="329"/>
      <c r="MY25" s="329"/>
      <c r="MZ25" s="329"/>
      <c r="NA25" s="329"/>
      <c r="NB25" s="329"/>
      <c r="NC25" s="329"/>
      <c r="ND25" s="329"/>
      <c r="NE25" s="329"/>
      <c r="NF25" s="329"/>
      <c r="NG25" s="329"/>
      <c r="NH25" s="329"/>
      <c r="NI25" s="329"/>
      <c r="NJ25" s="329"/>
      <c r="NK25" s="329"/>
      <c r="NL25" s="329"/>
      <c r="NM25" s="329"/>
      <c r="NN25" s="329"/>
      <c r="NO25" s="329"/>
      <c r="NP25" s="329"/>
      <c r="NQ25" s="329"/>
      <c r="NR25" s="329"/>
      <c r="NS25" s="329"/>
      <c r="NT25" s="329"/>
      <c r="NU25" s="329"/>
      <c r="NV25" s="329"/>
      <c r="NW25" s="329"/>
      <c r="NX25" s="329"/>
      <c r="NY25" s="329"/>
      <c r="NZ25" s="329"/>
      <c r="OA25" s="329"/>
      <c r="OB25" s="329"/>
      <c r="OC25" s="329"/>
      <c r="OD25" s="329"/>
      <c r="OE25" s="329"/>
      <c r="OF25" s="329"/>
      <c r="OG25" s="329"/>
      <c r="OH25" s="329"/>
      <c r="OI25" s="329"/>
      <c r="OJ25" s="329"/>
      <c r="OK25" s="329"/>
      <c r="OL25" s="329"/>
      <c r="OM25" s="329"/>
      <c r="ON25" s="329"/>
      <c r="OO25" s="329"/>
      <c r="OP25" s="329"/>
      <c r="OQ25" s="329"/>
      <c r="OR25" s="329"/>
      <c r="OS25" s="329"/>
      <c r="OT25" s="329"/>
      <c r="OU25" s="329"/>
      <c r="OV25" s="329"/>
      <c r="OW25" s="329"/>
      <c r="OX25" s="329"/>
      <c r="OY25" s="329"/>
      <c r="OZ25" s="329"/>
      <c r="PA25" s="329"/>
      <c r="PB25" s="329"/>
      <c r="PC25" s="329"/>
      <c r="PD25" s="329"/>
      <c r="PE25" s="329"/>
      <c r="PF25" s="329"/>
      <c r="PG25" s="329"/>
      <c r="PH25" s="329"/>
      <c r="PI25" s="329"/>
      <c r="PJ25" s="329"/>
      <c r="PK25" s="329"/>
      <c r="PL25" s="329"/>
      <c r="PM25" s="329"/>
      <c r="PN25" s="329"/>
      <c r="PO25" s="329"/>
      <c r="PP25" s="329"/>
      <c r="PQ25" s="329"/>
      <c r="PR25" s="329"/>
      <c r="PS25" s="329"/>
      <c r="PT25" s="329"/>
      <c r="PU25" s="329"/>
      <c r="PV25" s="329"/>
      <c r="PW25" s="329"/>
      <c r="PX25" s="329"/>
      <c r="PY25" s="329"/>
      <c r="PZ25" s="329"/>
      <c r="QA25" s="329"/>
      <c r="QB25" s="329"/>
      <c r="QC25" s="329"/>
      <c r="QD25" s="329"/>
      <c r="QE25" s="329"/>
      <c r="QF25" s="329"/>
      <c r="QG25" s="329"/>
      <c r="QH25" s="329"/>
      <c r="QI25" s="329"/>
      <c r="QJ25" s="329"/>
      <c r="QK25" s="329"/>
      <c r="QL25" s="329"/>
      <c r="QM25" s="329"/>
      <c r="QN25" s="329"/>
      <c r="QO25" s="329"/>
      <c r="QP25" s="329"/>
      <c r="QQ25" s="329"/>
      <c r="QR25" s="329"/>
      <c r="QS25" s="329"/>
      <c r="QT25" s="329"/>
      <c r="QU25" s="329"/>
      <c r="QV25" s="329"/>
      <c r="QW25" s="329"/>
      <c r="QX25" s="329"/>
      <c r="QY25" s="329"/>
      <c r="QZ25" s="329"/>
      <c r="RA25" s="329"/>
      <c r="RB25" s="329"/>
      <c r="RC25" s="329"/>
      <c r="RD25" s="329"/>
      <c r="RE25" s="329"/>
      <c r="RF25" s="329"/>
      <c r="RG25" s="329"/>
      <c r="RH25" s="329"/>
      <c r="RI25" s="329"/>
      <c r="RJ25" s="329"/>
      <c r="RK25" s="329"/>
      <c r="RL25" s="329"/>
      <c r="RM25" s="329"/>
      <c r="RN25" s="329"/>
      <c r="RO25" s="329"/>
      <c r="RP25" s="329"/>
      <c r="RQ25" s="329"/>
      <c r="RR25" s="329"/>
      <c r="RS25" s="329"/>
      <c r="RT25" s="329"/>
      <c r="RU25" s="329"/>
      <c r="RV25" s="329"/>
      <c r="RW25" s="329"/>
      <c r="RX25" s="329"/>
      <c r="RY25" s="329"/>
      <c r="RZ25" s="329"/>
      <c r="SA25" s="329"/>
      <c r="SB25" s="329"/>
      <c r="SC25" s="329"/>
      <c r="SD25" s="329"/>
      <c r="SE25" s="329"/>
      <c r="SF25" s="329"/>
      <c r="SG25" s="329"/>
      <c r="SH25" s="329"/>
      <c r="SI25" s="329"/>
      <c r="SJ25" s="329"/>
      <c r="SK25" s="329"/>
      <c r="SL25" s="329"/>
      <c r="SM25" s="329"/>
      <c r="SN25" s="329"/>
      <c r="SO25" s="329"/>
      <c r="SP25" s="329"/>
      <c r="SQ25" s="329"/>
      <c r="SR25" s="329"/>
      <c r="SS25" s="329"/>
      <c r="ST25" s="329"/>
      <c r="SU25" s="329"/>
      <c r="SV25" s="329"/>
      <c r="SW25" s="329"/>
      <c r="SX25" s="329"/>
      <c r="SY25" s="329"/>
      <c r="SZ25" s="329"/>
      <c r="TA25" s="329"/>
      <c r="TB25" s="329"/>
      <c r="TC25" s="329"/>
      <c r="TD25" s="329"/>
      <c r="TE25" s="329"/>
      <c r="TF25" s="329"/>
      <c r="TG25" s="329"/>
      <c r="TH25" s="329"/>
      <c r="TI25" s="329"/>
      <c r="TJ25" s="329"/>
      <c r="TK25" s="329"/>
      <c r="TL25" s="329"/>
      <c r="TM25" s="329"/>
      <c r="TN25" s="329"/>
      <c r="TO25" s="329"/>
      <c r="TP25" s="329"/>
      <c r="TQ25" s="329"/>
      <c r="TR25" s="329"/>
      <c r="TS25" s="329"/>
      <c r="TT25" s="329"/>
      <c r="TU25" s="329"/>
      <c r="TV25" s="329"/>
      <c r="TW25" s="329"/>
      <c r="TX25" s="329"/>
      <c r="TY25" s="329"/>
      <c r="TZ25" s="329"/>
      <c r="UA25" s="329"/>
      <c r="UB25" s="329"/>
      <c r="UC25" s="329"/>
      <c r="UD25" s="329"/>
      <c r="UE25" s="329"/>
      <c r="UF25" s="329"/>
      <c r="UG25" s="329"/>
      <c r="UH25" s="329"/>
      <c r="UI25" s="329"/>
      <c r="UJ25" s="329"/>
      <c r="UK25" s="329"/>
      <c r="UL25" s="329"/>
      <c r="UM25" s="329"/>
      <c r="UN25" s="329"/>
      <c r="UO25" s="329"/>
      <c r="UP25" s="329"/>
      <c r="UQ25" s="329"/>
      <c r="UR25" s="329"/>
      <c r="US25" s="329"/>
      <c r="UT25" s="329"/>
      <c r="UU25" s="329"/>
      <c r="UV25" s="329"/>
      <c r="UW25" s="329"/>
      <c r="UX25" s="329"/>
      <c r="UY25" s="329"/>
      <c r="UZ25" s="329"/>
      <c r="VA25" s="329"/>
      <c r="VB25" s="329"/>
      <c r="VC25" s="329"/>
      <c r="VD25" s="329"/>
      <c r="VE25" s="329"/>
      <c r="VF25" s="329"/>
      <c r="VG25" s="329"/>
      <c r="VH25" s="329"/>
      <c r="VI25" s="329"/>
      <c r="VJ25" s="329"/>
      <c r="VK25" s="329"/>
      <c r="VL25" s="329"/>
      <c r="VM25" s="329"/>
      <c r="VN25" s="329"/>
      <c r="VO25" s="329"/>
      <c r="VP25" s="329"/>
      <c r="VQ25" s="329"/>
      <c r="VR25" s="329"/>
      <c r="VS25" s="329"/>
      <c r="VT25" s="329"/>
      <c r="VU25" s="329"/>
      <c r="VV25" s="329"/>
      <c r="VW25" s="329"/>
      <c r="VX25" s="329"/>
      <c r="VY25" s="329"/>
      <c r="VZ25" s="329"/>
      <c r="WA25" s="329"/>
      <c r="WB25" s="329"/>
      <c r="WC25" s="329"/>
      <c r="WD25" s="329"/>
      <c r="WE25" s="329"/>
      <c r="WF25" s="329"/>
      <c r="WG25" s="329"/>
      <c r="WH25" s="329"/>
      <c r="WI25" s="329"/>
      <c r="WJ25" s="329"/>
      <c r="WK25" s="329"/>
      <c r="WL25" s="329"/>
      <c r="WM25" s="329"/>
      <c r="WN25" s="329"/>
      <c r="WO25" s="329"/>
      <c r="WP25" s="329"/>
      <c r="WQ25" s="329"/>
      <c r="WR25" s="329"/>
      <c r="WS25" s="329"/>
      <c r="WT25" s="329"/>
      <c r="WU25" s="329"/>
      <c r="WV25" s="329"/>
      <c r="WW25" s="329"/>
      <c r="WX25" s="329"/>
      <c r="WY25" s="329"/>
      <c r="WZ25" s="329"/>
      <c r="XA25" s="329"/>
      <c r="XB25" s="329"/>
      <c r="XC25" s="329"/>
      <c r="XD25" s="329"/>
      <c r="XE25" s="329"/>
      <c r="XF25" s="329"/>
      <c r="XG25" s="329"/>
      <c r="XH25" s="329"/>
      <c r="XI25" s="329"/>
      <c r="XJ25" s="329"/>
      <c r="XK25" s="329"/>
      <c r="XL25" s="329"/>
      <c r="XM25" s="329"/>
      <c r="XN25" s="329"/>
      <c r="XO25" s="329"/>
      <c r="XP25" s="329"/>
      <c r="XQ25" s="329"/>
      <c r="XR25" s="329"/>
      <c r="XS25" s="329"/>
      <c r="XT25" s="329"/>
      <c r="XU25" s="329"/>
      <c r="XV25" s="329"/>
      <c r="XW25" s="329"/>
      <c r="XX25" s="329"/>
      <c r="XY25" s="329"/>
      <c r="XZ25" s="329"/>
      <c r="YA25" s="329"/>
      <c r="YB25" s="329"/>
      <c r="YC25" s="329"/>
    </row>
    <row r="26" spans="1:653" s="243" customFormat="1" ht="31.5" customHeight="1">
      <c r="A26" s="451"/>
      <c r="B26" s="452"/>
      <c r="C26" s="394" t="s">
        <v>312</v>
      </c>
      <c r="D26" s="395"/>
      <c r="E26" s="242"/>
      <c r="F26" s="329"/>
      <c r="G26" s="329"/>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329"/>
      <c r="AU26" s="329"/>
      <c r="AV26" s="329"/>
      <c r="AW26" s="329"/>
      <c r="AX26" s="329"/>
      <c r="AY26" s="329"/>
      <c r="AZ26" s="329"/>
      <c r="BA26" s="329"/>
      <c r="BB26" s="329"/>
      <c r="BC26" s="329"/>
      <c r="BD26" s="329"/>
      <c r="BE26" s="329"/>
      <c r="BF26" s="329"/>
      <c r="BG26" s="329"/>
      <c r="BH26" s="329"/>
      <c r="BI26" s="329"/>
      <c r="BJ26" s="329"/>
      <c r="BK26" s="329"/>
      <c r="BL26" s="329"/>
      <c r="BM26" s="329"/>
      <c r="BN26" s="329"/>
      <c r="BO26" s="329"/>
      <c r="BP26" s="329"/>
      <c r="BQ26" s="329"/>
      <c r="BR26" s="329"/>
      <c r="BS26" s="329"/>
      <c r="BT26" s="329"/>
      <c r="BU26" s="329"/>
      <c r="BV26" s="329"/>
      <c r="BW26" s="329"/>
      <c r="BX26" s="329"/>
      <c r="BY26" s="329"/>
      <c r="BZ26" s="329"/>
      <c r="CA26" s="329"/>
      <c r="CB26" s="329"/>
      <c r="CC26" s="329"/>
      <c r="CD26" s="329"/>
      <c r="CE26" s="329"/>
      <c r="CF26" s="329"/>
      <c r="CG26" s="329"/>
      <c r="CH26" s="329"/>
      <c r="CI26" s="329"/>
      <c r="CJ26" s="329"/>
      <c r="CK26" s="329"/>
      <c r="CL26" s="329"/>
      <c r="CM26" s="329"/>
      <c r="CN26" s="329"/>
      <c r="CO26" s="329"/>
      <c r="CP26" s="329"/>
      <c r="CQ26" s="329"/>
      <c r="CR26" s="329"/>
      <c r="CS26" s="329"/>
      <c r="CT26" s="329"/>
      <c r="CU26" s="329"/>
      <c r="CV26" s="329"/>
      <c r="CW26" s="329"/>
      <c r="CX26" s="329"/>
      <c r="CY26" s="329"/>
      <c r="CZ26" s="329"/>
      <c r="DA26" s="329"/>
      <c r="DB26" s="329"/>
      <c r="DC26" s="329"/>
      <c r="DD26" s="329"/>
      <c r="DE26" s="329"/>
      <c r="DF26" s="329"/>
      <c r="DG26" s="329"/>
      <c r="DH26" s="329"/>
      <c r="DI26" s="329"/>
      <c r="DJ26" s="329"/>
      <c r="DK26" s="329"/>
      <c r="DL26" s="329"/>
      <c r="DM26" s="329"/>
      <c r="DN26" s="329"/>
      <c r="DO26" s="329"/>
      <c r="DP26" s="329"/>
      <c r="DQ26" s="329"/>
      <c r="DR26" s="329"/>
      <c r="DS26" s="329"/>
      <c r="DT26" s="329"/>
      <c r="DU26" s="329"/>
      <c r="DV26" s="329"/>
      <c r="DW26" s="329"/>
      <c r="DX26" s="329"/>
      <c r="DY26" s="329"/>
      <c r="DZ26" s="329"/>
      <c r="EA26" s="329"/>
      <c r="EB26" s="329"/>
      <c r="EC26" s="329"/>
      <c r="ED26" s="329"/>
      <c r="EE26" s="329"/>
      <c r="EF26" s="329"/>
      <c r="EG26" s="329"/>
      <c r="EH26" s="329"/>
      <c r="EI26" s="329"/>
      <c r="EJ26" s="329"/>
      <c r="EK26" s="329"/>
      <c r="EL26" s="329"/>
      <c r="EM26" s="329"/>
      <c r="EN26" s="329"/>
      <c r="EO26" s="329"/>
      <c r="EP26" s="329"/>
      <c r="EQ26" s="329"/>
      <c r="ER26" s="329"/>
      <c r="ES26" s="329"/>
      <c r="ET26" s="329"/>
      <c r="EU26" s="329"/>
      <c r="EV26" s="329"/>
      <c r="EW26" s="329"/>
      <c r="EX26" s="329"/>
      <c r="EY26" s="329"/>
      <c r="EZ26" s="329"/>
      <c r="FA26" s="329"/>
      <c r="FB26" s="329"/>
      <c r="FC26" s="329"/>
      <c r="FD26" s="329"/>
      <c r="FE26" s="329"/>
      <c r="FF26" s="329"/>
      <c r="FG26" s="329"/>
      <c r="FH26" s="329"/>
      <c r="FI26" s="329"/>
      <c r="FJ26" s="329"/>
      <c r="FK26" s="329"/>
      <c r="FL26" s="329"/>
      <c r="FM26" s="329"/>
      <c r="FN26" s="329"/>
      <c r="FO26" s="329"/>
      <c r="FP26" s="329"/>
      <c r="FQ26" s="329"/>
      <c r="FR26" s="329"/>
      <c r="FS26" s="329"/>
      <c r="FT26" s="329"/>
      <c r="FU26" s="329"/>
      <c r="FV26" s="329"/>
      <c r="FW26" s="329"/>
      <c r="FX26" s="329"/>
      <c r="FY26" s="329"/>
      <c r="FZ26" s="329"/>
      <c r="GA26" s="329"/>
      <c r="GB26" s="329"/>
      <c r="GC26" s="329"/>
      <c r="GD26" s="329"/>
      <c r="GE26" s="329"/>
      <c r="GF26" s="329"/>
      <c r="GG26" s="329"/>
      <c r="GH26" s="329"/>
      <c r="GI26" s="329"/>
      <c r="GJ26" s="329"/>
      <c r="GK26" s="329"/>
      <c r="GL26" s="329"/>
      <c r="GM26" s="329"/>
      <c r="GN26" s="329"/>
      <c r="GO26" s="329"/>
      <c r="GP26" s="329"/>
      <c r="GQ26" s="329"/>
      <c r="GR26" s="329"/>
      <c r="GS26" s="329"/>
      <c r="GT26" s="329"/>
      <c r="GU26" s="329"/>
      <c r="GV26" s="329"/>
      <c r="GW26" s="329"/>
      <c r="GX26" s="329"/>
      <c r="GY26" s="329"/>
      <c r="GZ26" s="329"/>
      <c r="HA26" s="329"/>
      <c r="HB26" s="329"/>
      <c r="HC26" s="329"/>
      <c r="HD26" s="329"/>
      <c r="HE26" s="329"/>
      <c r="HF26" s="329"/>
      <c r="HG26" s="329"/>
      <c r="HH26" s="329"/>
      <c r="HI26" s="329"/>
      <c r="HJ26" s="329"/>
      <c r="HK26" s="329"/>
      <c r="HL26" s="329"/>
      <c r="HM26" s="329"/>
      <c r="HN26" s="329"/>
      <c r="HO26" s="329"/>
      <c r="HP26" s="329"/>
      <c r="HQ26" s="329"/>
      <c r="HR26" s="329"/>
      <c r="HS26" s="329"/>
      <c r="HT26" s="329"/>
      <c r="HU26" s="329"/>
      <c r="HV26" s="329"/>
      <c r="HW26" s="329"/>
      <c r="HX26" s="329"/>
      <c r="HY26" s="329"/>
      <c r="HZ26" s="329"/>
      <c r="IA26" s="329"/>
      <c r="IB26" s="329"/>
      <c r="IC26" s="329"/>
      <c r="ID26" s="329"/>
      <c r="IE26" s="329"/>
      <c r="IF26" s="329"/>
      <c r="IG26" s="329"/>
      <c r="IH26" s="329"/>
      <c r="II26" s="329"/>
      <c r="IJ26" s="329"/>
      <c r="IK26" s="329"/>
      <c r="IL26" s="329"/>
      <c r="IM26" s="329"/>
      <c r="IN26" s="329"/>
      <c r="IO26" s="329"/>
      <c r="IP26" s="329"/>
      <c r="IQ26" s="329"/>
      <c r="IR26" s="329"/>
      <c r="IS26" s="329"/>
      <c r="IT26" s="329"/>
      <c r="IU26" s="329"/>
      <c r="IV26" s="329"/>
      <c r="IW26" s="329"/>
      <c r="IX26" s="329"/>
      <c r="IY26" s="329"/>
      <c r="IZ26" s="329"/>
      <c r="JA26" s="329"/>
      <c r="JB26" s="329"/>
      <c r="JC26" s="329"/>
      <c r="JD26" s="329"/>
      <c r="JE26" s="329"/>
      <c r="JF26" s="329"/>
      <c r="JG26" s="329"/>
      <c r="JH26" s="329"/>
      <c r="JI26" s="329"/>
      <c r="JJ26" s="329"/>
      <c r="JK26" s="329"/>
      <c r="JL26" s="329"/>
      <c r="JM26" s="329"/>
      <c r="JN26" s="329"/>
      <c r="JO26" s="329"/>
      <c r="JP26" s="329"/>
      <c r="JQ26" s="329"/>
      <c r="JR26" s="329"/>
      <c r="JS26" s="329"/>
      <c r="JT26" s="329"/>
      <c r="JU26" s="329"/>
      <c r="JV26" s="329"/>
      <c r="JW26" s="329"/>
      <c r="JX26" s="329"/>
      <c r="JY26" s="329"/>
      <c r="JZ26" s="329"/>
      <c r="KA26" s="329"/>
      <c r="KB26" s="329"/>
      <c r="KC26" s="329"/>
      <c r="KD26" s="329"/>
      <c r="KE26" s="329"/>
      <c r="KF26" s="329"/>
      <c r="KG26" s="329"/>
      <c r="KH26" s="329"/>
      <c r="KI26" s="329"/>
      <c r="KJ26" s="329"/>
      <c r="KK26" s="329"/>
      <c r="KL26" s="329"/>
      <c r="KM26" s="329"/>
      <c r="KN26" s="329"/>
      <c r="KO26" s="329"/>
      <c r="KP26" s="329"/>
      <c r="KQ26" s="329"/>
      <c r="KR26" s="329"/>
      <c r="KS26" s="329"/>
      <c r="KT26" s="329"/>
      <c r="KU26" s="329"/>
      <c r="KV26" s="329"/>
      <c r="KW26" s="329"/>
      <c r="KX26" s="329"/>
      <c r="KY26" s="329"/>
      <c r="KZ26" s="329"/>
      <c r="LA26" s="329"/>
      <c r="LB26" s="329"/>
      <c r="LC26" s="329"/>
      <c r="LD26" s="329"/>
      <c r="LE26" s="329"/>
      <c r="LF26" s="329"/>
      <c r="LG26" s="329"/>
      <c r="LH26" s="329"/>
      <c r="LI26" s="329"/>
      <c r="LJ26" s="329"/>
      <c r="LK26" s="329"/>
      <c r="LL26" s="329"/>
      <c r="LM26" s="329"/>
      <c r="LN26" s="329"/>
      <c r="LO26" s="329"/>
      <c r="LP26" s="329"/>
      <c r="LQ26" s="329"/>
      <c r="LR26" s="329"/>
      <c r="LS26" s="329"/>
      <c r="LT26" s="329"/>
      <c r="LU26" s="329"/>
      <c r="LV26" s="329"/>
      <c r="LW26" s="329"/>
      <c r="LX26" s="329"/>
      <c r="LY26" s="329"/>
      <c r="LZ26" s="329"/>
      <c r="MA26" s="329"/>
      <c r="MB26" s="329"/>
      <c r="MC26" s="329"/>
      <c r="MD26" s="329"/>
      <c r="ME26" s="329"/>
      <c r="MF26" s="329"/>
      <c r="MG26" s="329"/>
      <c r="MH26" s="329"/>
      <c r="MI26" s="329"/>
      <c r="MJ26" s="329"/>
      <c r="MK26" s="329"/>
      <c r="ML26" s="329"/>
      <c r="MM26" s="329"/>
      <c r="MN26" s="329"/>
      <c r="MO26" s="329"/>
      <c r="MP26" s="329"/>
      <c r="MQ26" s="329"/>
      <c r="MR26" s="329"/>
      <c r="MS26" s="329"/>
      <c r="MT26" s="329"/>
      <c r="MU26" s="329"/>
      <c r="MV26" s="329"/>
      <c r="MW26" s="329"/>
      <c r="MX26" s="329"/>
      <c r="MY26" s="329"/>
      <c r="MZ26" s="329"/>
      <c r="NA26" s="329"/>
      <c r="NB26" s="329"/>
      <c r="NC26" s="329"/>
      <c r="ND26" s="329"/>
      <c r="NE26" s="329"/>
      <c r="NF26" s="329"/>
      <c r="NG26" s="329"/>
      <c r="NH26" s="329"/>
      <c r="NI26" s="329"/>
      <c r="NJ26" s="329"/>
      <c r="NK26" s="329"/>
      <c r="NL26" s="329"/>
      <c r="NM26" s="329"/>
      <c r="NN26" s="329"/>
      <c r="NO26" s="329"/>
      <c r="NP26" s="329"/>
      <c r="NQ26" s="329"/>
      <c r="NR26" s="329"/>
      <c r="NS26" s="329"/>
      <c r="NT26" s="329"/>
      <c r="NU26" s="329"/>
      <c r="NV26" s="329"/>
      <c r="NW26" s="329"/>
      <c r="NX26" s="329"/>
      <c r="NY26" s="329"/>
      <c r="NZ26" s="329"/>
      <c r="OA26" s="329"/>
      <c r="OB26" s="329"/>
      <c r="OC26" s="329"/>
      <c r="OD26" s="329"/>
      <c r="OE26" s="329"/>
      <c r="OF26" s="329"/>
      <c r="OG26" s="329"/>
      <c r="OH26" s="329"/>
      <c r="OI26" s="329"/>
      <c r="OJ26" s="329"/>
      <c r="OK26" s="329"/>
      <c r="OL26" s="329"/>
      <c r="OM26" s="329"/>
      <c r="ON26" s="329"/>
      <c r="OO26" s="329"/>
      <c r="OP26" s="329"/>
      <c r="OQ26" s="329"/>
      <c r="OR26" s="329"/>
      <c r="OS26" s="329"/>
      <c r="OT26" s="329"/>
      <c r="OU26" s="329"/>
      <c r="OV26" s="329"/>
      <c r="OW26" s="329"/>
      <c r="OX26" s="329"/>
      <c r="OY26" s="329"/>
      <c r="OZ26" s="329"/>
      <c r="PA26" s="329"/>
      <c r="PB26" s="329"/>
      <c r="PC26" s="329"/>
      <c r="PD26" s="329"/>
      <c r="PE26" s="329"/>
      <c r="PF26" s="329"/>
      <c r="PG26" s="329"/>
      <c r="PH26" s="329"/>
      <c r="PI26" s="329"/>
      <c r="PJ26" s="329"/>
      <c r="PK26" s="329"/>
      <c r="PL26" s="329"/>
      <c r="PM26" s="329"/>
      <c r="PN26" s="329"/>
      <c r="PO26" s="329"/>
      <c r="PP26" s="329"/>
      <c r="PQ26" s="329"/>
      <c r="PR26" s="329"/>
      <c r="PS26" s="329"/>
      <c r="PT26" s="329"/>
      <c r="PU26" s="329"/>
      <c r="PV26" s="329"/>
      <c r="PW26" s="329"/>
      <c r="PX26" s="329"/>
      <c r="PY26" s="329"/>
      <c r="PZ26" s="329"/>
      <c r="QA26" s="329"/>
      <c r="QB26" s="329"/>
      <c r="QC26" s="329"/>
      <c r="QD26" s="329"/>
      <c r="QE26" s="329"/>
      <c r="QF26" s="329"/>
      <c r="QG26" s="329"/>
      <c r="QH26" s="329"/>
      <c r="QI26" s="329"/>
      <c r="QJ26" s="329"/>
      <c r="QK26" s="329"/>
      <c r="QL26" s="329"/>
      <c r="QM26" s="329"/>
      <c r="QN26" s="329"/>
      <c r="QO26" s="329"/>
      <c r="QP26" s="329"/>
      <c r="QQ26" s="329"/>
      <c r="QR26" s="329"/>
      <c r="QS26" s="329"/>
      <c r="QT26" s="329"/>
      <c r="QU26" s="329"/>
      <c r="QV26" s="329"/>
      <c r="QW26" s="329"/>
      <c r="QX26" s="329"/>
      <c r="QY26" s="329"/>
      <c r="QZ26" s="329"/>
      <c r="RA26" s="329"/>
      <c r="RB26" s="329"/>
      <c r="RC26" s="329"/>
      <c r="RD26" s="329"/>
      <c r="RE26" s="329"/>
      <c r="RF26" s="329"/>
      <c r="RG26" s="329"/>
      <c r="RH26" s="329"/>
      <c r="RI26" s="329"/>
      <c r="RJ26" s="329"/>
      <c r="RK26" s="329"/>
      <c r="RL26" s="329"/>
      <c r="RM26" s="329"/>
      <c r="RN26" s="329"/>
      <c r="RO26" s="329"/>
      <c r="RP26" s="329"/>
      <c r="RQ26" s="329"/>
      <c r="RR26" s="329"/>
      <c r="RS26" s="329"/>
      <c r="RT26" s="329"/>
      <c r="RU26" s="329"/>
      <c r="RV26" s="329"/>
      <c r="RW26" s="329"/>
      <c r="RX26" s="329"/>
      <c r="RY26" s="329"/>
      <c r="RZ26" s="329"/>
      <c r="SA26" s="329"/>
      <c r="SB26" s="329"/>
      <c r="SC26" s="329"/>
      <c r="SD26" s="329"/>
      <c r="SE26" s="329"/>
      <c r="SF26" s="329"/>
      <c r="SG26" s="329"/>
      <c r="SH26" s="329"/>
      <c r="SI26" s="329"/>
      <c r="SJ26" s="329"/>
      <c r="SK26" s="329"/>
      <c r="SL26" s="329"/>
      <c r="SM26" s="329"/>
      <c r="SN26" s="329"/>
      <c r="SO26" s="329"/>
      <c r="SP26" s="329"/>
      <c r="SQ26" s="329"/>
      <c r="SR26" s="329"/>
      <c r="SS26" s="329"/>
      <c r="ST26" s="329"/>
      <c r="SU26" s="329"/>
      <c r="SV26" s="329"/>
      <c r="SW26" s="329"/>
      <c r="SX26" s="329"/>
      <c r="SY26" s="329"/>
      <c r="SZ26" s="329"/>
      <c r="TA26" s="329"/>
      <c r="TB26" s="329"/>
      <c r="TC26" s="329"/>
      <c r="TD26" s="329"/>
      <c r="TE26" s="329"/>
      <c r="TF26" s="329"/>
      <c r="TG26" s="329"/>
      <c r="TH26" s="329"/>
      <c r="TI26" s="329"/>
      <c r="TJ26" s="329"/>
      <c r="TK26" s="329"/>
      <c r="TL26" s="329"/>
      <c r="TM26" s="329"/>
      <c r="TN26" s="329"/>
      <c r="TO26" s="329"/>
      <c r="TP26" s="329"/>
      <c r="TQ26" s="329"/>
      <c r="TR26" s="329"/>
      <c r="TS26" s="329"/>
      <c r="TT26" s="329"/>
      <c r="TU26" s="329"/>
      <c r="TV26" s="329"/>
      <c r="TW26" s="329"/>
      <c r="TX26" s="329"/>
      <c r="TY26" s="329"/>
      <c r="TZ26" s="329"/>
      <c r="UA26" s="329"/>
      <c r="UB26" s="329"/>
      <c r="UC26" s="329"/>
      <c r="UD26" s="329"/>
      <c r="UE26" s="329"/>
      <c r="UF26" s="329"/>
      <c r="UG26" s="329"/>
      <c r="UH26" s="329"/>
      <c r="UI26" s="329"/>
      <c r="UJ26" s="329"/>
      <c r="UK26" s="329"/>
      <c r="UL26" s="329"/>
      <c r="UM26" s="329"/>
      <c r="UN26" s="329"/>
      <c r="UO26" s="329"/>
      <c r="UP26" s="329"/>
      <c r="UQ26" s="329"/>
      <c r="UR26" s="329"/>
      <c r="US26" s="329"/>
      <c r="UT26" s="329"/>
      <c r="UU26" s="329"/>
      <c r="UV26" s="329"/>
      <c r="UW26" s="329"/>
      <c r="UX26" s="329"/>
      <c r="UY26" s="329"/>
      <c r="UZ26" s="329"/>
      <c r="VA26" s="329"/>
      <c r="VB26" s="329"/>
      <c r="VC26" s="329"/>
      <c r="VD26" s="329"/>
      <c r="VE26" s="329"/>
      <c r="VF26" s="329"/>
      <c r="VG26" s="329"/>
      <c r="VH26" s="329"/>
      <c r="VI26" s="329"/>
      <c r="VJ26" s="329"/>
      <c r="VK26" s="329"/>
      <c r="VL26" s="329"/>
      <c r="VM26" s="329"/>
      <c r="VN26" s="329"/>
      <c r="VO26" s="329"/>
      <c r="VP26" s="329"/>
      <c r="VQ26" s="329"/>
      <c r="VR26" s="329"/>
      <c r="VS26" s="329"/>
      <c r="VT26" s="329"/>
      <c r="VU26" s="329"/>
      <c r="VV26" s="329"/>
      <c r="VW26" s="329"/>
      <c r="VX26" s="329"/>
      <c r="VY26" s="329"/>
      <c r="VZ26" s="329"/>
      <c r="WA26" s="329"/>
      <c r="WB26" s="329"/>
      <c r="WC26" s="329"/>
      <c r="WD26" s="329"/>
      <c r="WE26" s="329"/>
      <c r="WF26" s="329"/>
      <c r="WG26" s="329"/>
      <c r="WH26" s="329"/>
      <c r="WI26" s="329"/>
      <c r="WJ26" s="329"/>
      <c r="WK26" s="329"/>
      <c r="WL26" s="329"/>
      <c r="WM26" s="329"/>
      <c r="WN26" s="329"/>
      <c r="WO26" s="329"/>
      <c r="WP26" s="329"/>
      <c r="WQ26" s="329"/>
      <c r="WR26" s="329"/>
      <c r="WS26" s="329"/>
      <c r="WT26" s="329"/>
      <c r="WU26" s="329"/>
      <c r="WV26" s="329"/>
      <c r="WW26" s="329"/>
      <c r="WX26" s="329"/>
      <c r="WY26" s="329"/>
      <c r="WZ26" s="329"/>
      <c r="XA26" s="329"/>
      <c r="XB26" s="329"/>
      <c r="XC26" s="329"/>
      <c r="XD26" s="329"/>
      <c r="XE26" s="329"/>
      <c r="XF26" s="329"/>
      <c r="XG26" s="329"/>
      <c r="XH26" s="329"/>
      <c r="XI26" s="329"/>
      <c r="XJ26" s="329"/>
      <c r="XK26" s="329"/>
      <c r="XL26" s="329"/>
      <c r="XM26" s="329"/>
      <c r="XN26" s="329"/>
      <c r="XO26" s="329"/>
      <c r="XP26" s="329"/>
      <c r="XQ26" s="329"/>
      <c r="XR26" s="329"/>
      <c r="XS26" s="329"/>
      <c r="XT26" s="329"/>
      <c r="XU26" s="329"/>
      <c r="XV26" s="329"/>
      <c r="XW26" s="329"/>
      <c r="XX26" s="329"/>
      <c r="XY26" s="329"/>
      <c r="XZ26" s="329"/>
      <c r="YA26" s="329"/>
      <c r="YB26" s="329"/>
      <c r="YC26" s="329"/>
    </row>
    <row r="27" spans="1:653" s="105" customFormat="1" ht="74.25" customHeight="1">
      <c r="A27" s="451"/>
      <c r="B27" s="452"/>
      <c r="C27" s="442" t="s">
        <v>565</v>
      </c>
      <c r="D27" s="443"/>
      <c r="E27" s="121"/>
    </row>
    <row r="28" spans="1:653" s="253" customFormat="1" ht="23.45" customHeight="1">
      <c r="A28" s="451"/>
      <c r="B28" s="452"/>
      <c r="C28" s="447" t="s">
        <v>313</v>
      </c>
      <c r="D28" s="448"/>
      <c r="E28" s="121"/>
    </row>
    <row r="29" spans="1:653" s="239" customFormat="1" ht="28.5" customHeight="1">
      <c r="A29" s="453"/>
      <c r="B29" s="454"/>
      <c r="C29" s="447" t="s">
        <v>314</v>
      </c>
      <c r="D29" s="448"/>
      <c r="E29" s="121"/>
    </row>
    <row r="30" spans="1:653" s="105" customFormat="1">
      <c r="A30" s="439" t="s">
        <v>315</v>
      </c>
      <c r="B30" s="439"/>
      <c r="C30" s="439"/>
      <c r="D30" s="439"/>
      <c r="E30" s="439"/>
    </row>
    <row r="31" spans="1:653" s="105" customFormat="1">
      <c r="A31" s="267"/>
      <c r="B31" s="267"/>
      <c r="C31" s="267"/>
      <c r="D31" s="267"/>
      <c r="E31" s="267"/>
    </row>
    <row r="32" spans="1:653" s="105" customFormat="1" ht="15.75">
      <c r="A32" s="437" t="s">
        <v>292</v>
      </c>
      <c r="B32" s="437"/>
      <c r="C32" s="437"/>
      <c r="D32" s="437"/>
      <c r="E32" s="437"/>
    </row>
    <row r="33" spans="1:5" s="105" customFormat="1">
      <c r="A33" s="438"/>
      <c r="B33" s="438"/>
      <c r="C33" s="438"/>
      <c r="D33" s="438"/>
      <c r="E33" s="438"/>
    </row>
    <row r="34" spans="1:5" s="105" customFormat="1">
      <c r="A34" s="444"/>
      <c r="B34" s="444"/>
      <c r="C34" s="444"/>
      <c r="D34" s="444"/>
      <c r="E34" s="444"/>
    </row>
    <row r="35" spans="1:5" s="105" customFormat="1">
      <c r="A35" s="267"/>
      <c r="B35" s="267"/>
      <c r="C35" s="267"/>
      <c r="D35" s="267"/>
      <c r="E35" s="267"/>
    </row>
    <row r="36" spans="1:5" s="105" customFormat="1" ht="15.75">
      <c r="A36" s="436" t="s">
        <v>293</v>
      </c>
      <c r="B36" s="437"/>
      <c r="C36" s="437"/>
      <c r="D36" s="437"/>
      <c r="E36" s="437"/>
    </row>
    <row r="37" spans="1:5" s="105" customFormat="1">
      <c r="A37" s="438"/>
      <c r="B37" s="438"/>
      <c r="C37" s="438"/>
      <c r="D37" s="438"/>
      <c r="E37" s="438"/>
    </row>
    <row r="38" spans="1:5" s="105" customFormat="1">
      <c r="A38" s="267"/>
      <c r="B38" s="267"/>
      <c r="C38" s="267"/>
      <c r="D38" s="267"/>
      <c r="E38" s="267"/>
    </row>
    <row r="39" spans="1:5" s="105" customFormat="1">
      <c r="A39" s="267"/>
      <c r="B39" s="267"/>
      <c r="C39" s="267"/>
      <c r="D39" s="267"/>
      <c r="E39" s="267"/>
    </row>
    <row r="40" spans="1:5" s="105" customFormat="1">
      <c r="A40" s="267"/>
      <c r="B40" s="267"/>
      <c r="C40" s="267"/>
      <c r="D40" s="267"/>
      <c r="E40" s="267"/>
    </row>
    <row r="41" spans="1:5" s="105" customFormat="1">
      <c r="A41" s="267"/>
      <c r="B41" s="267"/>
      <c r="C41" s="267"/>
      <c r="D41" s="267"/>
      <c r="E41" s="267"/>
    </row>
    <row r="42" spans="1:5" s="105" customFormat="1">
      <c r="A42" s="267"/>
      <c r="B42" s="267"/>
      <c r="C42" s="267"/>
      <c r="D42" s="267"/>
      <c r="E42" s="267"/>
    </row>
    <row r="43" spans="1:5" s="105" customFormat="1">
      <c r="A43" s="267"/>
      <c r="B43" s="267"/>
      <c r="C43" s="267"/>
      <c r="D43" s="267"/>
      <c r="E43" s="267"/>
    </row>
    <row r="44" spans="1:5" s="105" customFormat="1">
      <c r="A44" s="267"/>
      <c r="B44" s="267"/>
      <c r="C44" s="267"/>
      <c r="D44" s="267"/>
      <c r="E44" s="267"/>
    </row>
    <row r="45" spans="1:5" s="105" customFormat="1">
      <c r="A45" s="267"/>
      <c r="B45" s="267"/>
      <c r="C45" s="267"/>
      <c r="D45" s="267"/>
      <c r="E45" s="267"/>
    </row>
    <row r="46" spans="1:5" s="105" customFormat="1">
      <c r="A46" s="267"/>
      <c r="B46" s="267"/>
      <c r="C46" s="267"/>
      <c r="D46" s="267"/>
      <c r="E46" s="267"/>
    </row>
    <row r="47" spans="1:5" s="105" customFormat="1">
      <c r="A47" s="267"/>
      <c r="B47" s="267"/>
      <c r="C47" s="267"/>
      <c r="D47" s="267"/>
      <c r="E47" s="267"/>
    </row>
    <row r="48" spans="1:5" s="105" customFormat="1">
      <c r="A48" s="267"/>
      <c r="B48" s="267"/>
      <c r="C48" s="267"/>
      <c r="D48" s="267"/>
      <c r="E48" s="267"/>
    </row>
    <row r="49" spans="1:5" s="105" customFormat="1">
      <c r="A49" s="267"/>
      <c r="B49" s="267"/>
      <c r="C49" s="267"/>
      <c r="D49" s="267"/>
      <c r="E49" s="267"/>
    </row>
    <row r="50" spans="1:5" s="105" customFormat="1"/>
    <row r="51" spans="1:5" s="105" customFormat="1"/>
    <row r="52" spans="1:5" s="105" customFormat="1"/>
    <row r="53" spans="1:5" s="105" customFormat="1"/>
    <row r="54" spans="1:5" s="105" customFormat="1"/>
    <row r="55" spans="1:5" s="105" customFormat="1"/>
    <row r="56" spans="1:5" s="105" customFormat="1"/>
    <row r="57" spans="1:5" s="105" customFormat="1"/>
    <row r="58" spans="1:5" s="105" customFormat="1"/>
    <row r="59" spans="1:5" s="105" customFormat="1"/>
    <row r="60" spans="1:5" s="105" customFormat="1"/>
    <row r="61" spans="1:5" s="105" customFormat="1"/>
    <row r="62" spans="1:5" s="105" customFormat="1"/>
    <row r="63" spans="1:5" s="105" customFormat="1"/>
    <row r="64" spans="1:5" s="105" customFormat="1"/>
    <row r="65" s="105" customFormat="1"/>
    <row r="66" s="105" customFormat="1"/>
    <row r="67" s="105" customFormat="1"/>
    <row r="68" s="105" customFormat="1"/>
    <row r="69" s="105" customFormat="1"/>
    <row r="70" s="105" customFormat="1"/>
    <row r="71" s="105" customFormat="1"/>
    <row r="72" s="105" customFormat="1"/>
    <row r="73" s="105" customFormat="1"/>
    <row r="74" s="105" customFormat="1"/>
    <row r="75" s="105" customFormat="1"/>
    <row r="76" s="105" customFormat="1"/>
    <row r="77" s="105" customFormat="1"/>
    <row r="78" s="105" customFormat="1"/>
    <row r="79" s="105" customFormat="1"/>
    <row r="80" s="105" customFormat="1"/>
    <row r="81" s="105" customFormat="1"/>
    <row r="82" s="105" customFormat="1"/>
    <row r="83" s="105" customFormat="1"/>
  </sheetData>
  <customSheetViews>
    <customSheetView guid="{1EC8F930-14F4-4F68-ADDF-6F0F0EB721BA}" topLeftCell="A19">
      <selection activeCell="A26" sqref="A26:E26"/>
      <pageMargins left="0" right="0" top="0" bottom="0" header="0" footer="0"/>
    </customSheetView>
    <customSheetView guid="{97C31678-F053-4946-809D-FA0B847F2A76}" topLeftCell="A19">
      <selection activeCell="A26" sqref="A26:E26"/>
      <pageMargins left="0" right="0" top="0" bottom="0" header="0" footer="0"/>
    </customSheetView>
  </customSheetViews>
  <mergeCells count="30">
    <mergeCell ref="A12:E12"/>
    <mergeCell ref="A15:D15"/>
    <mergeCell ref="A1:E1"/>
    <mergeCell ref="A3:E3"/>
    <mergeCell ref="A8:E8"/>
    <mergeCell ref="A10:E10"/>
    <mergeCell ref="A13:E13"/>
    <mergeCell ref="C29:D29"/>
    <mergeCell ref="A18:B29"/>
    <mergeCell ref="C26:D26"/>
    <mergeCell ref="C16:D16"/>
    <mergeCell ref="C28:D28"/>
    <mergeCell ref="C24:D24"/>
    <mergeCell ref="A16:B16"/>
    <mergeCell ref="A36:E36"/>
    <mergeCell ref="A37:E37"/>
    <mergeCell ref="A30:E30"/>
    <mergeCell ref="A32:E32"/>
    <mergeCell ref="A17:B17"/>
    <mergeCell ref="C17:D17"/>
    <mergeCell ref="A33:E33"/>
    <mergeCell ref="A34:E34"/>
    <mergeCell ref="C18:D18"/>
    <mergeCell ref="C19:D19"/>
    <mergeCell ref="C27:D27"/>
    <mergeCell ref="C20:D20"/>
    <mergeCell ref="C21:D21"/>
    <mergeCell ref="C22:D22"/>
    <mergeCell ref="C23:D23"/>
    <mergeCell ref="C25:D25"/>
  </mergeCells>
  <phoneticPr fontId="63" type="noConversion"/>
  <dataValidations count="1">
    <dataValidation type="list" allowBlank="1" showInputMessage="1" showErrorMessage="1" sqref="F6:F7" xr:uid="{C5D9EE66-4E36-4BB3-A424-BA14BEC424EB}">
      <formula1>"approved,not approved"</formula1>
    </dataValidation>
  </dataValidations>
  <hyperlinks>
    <hyperlink ref="A14" r:id="rId1" xr:uid="{00000000-0004-0000-0A00-000000000000}"/>
  </hyperlinks>
  <pageMargins left="0.7" right="0.7" top="0.78740157499999996" bottom="0.78740157499999996"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dimension ref="A1:E19"/>
  <sheetViews>
    <sheetView workbookViewId="0">
      <selection activeCell="E10" sqref="E10"/>
    </sheetView>
  </sheetViews>
  <sheetFormatPr defaultColWidth="11.5703125" defaultRowHeight="12.75"/>
  <cols>
    <col min="1" max="5" width="18.7109375" style="181" customWidth="1"/>
    <col min="6" max="16384" width="11.5703125" style="181"/>
  </cols>
  <sheetData>
    <row r="1" spans="1:5">
      <c r="A1" s="60" t="s">
        <v>548</v>
      </c>
      <c r="B1" s="4"/>
      <c r="C1" s="4"/>
      <c r="D1" s="4"/>
      <c r="E1" s="4"/>
    </row>
    <row r="2" spans="1:5" ht="13.15" customHeight="1">
      <c r="A2" s="461" t="s">
        <v>549</v>
      </c>
      <c r="B2" s="461"/>
      <c r="C2" s="461"/>
      <c r="D2" s="461"/>
      <c r="E2" s="4"/>
    </row>
    <row r="3" spans="1:5">
      <c r="A3" s="462"/>
      <c r="B3" s="462"/>
      <c r="C3" s="462"/>
      <c r="D3" s="462"/>
      <c r="E3" s="4"/>
    </row>
    <row r="4" spans="1:5">
      <c r="A4" s="284"/>
      <c r="B4" s="358"/>
      <c r="C4" s="463"/>
      <c r="D4" s="463"/>
      <c r="E4" s="463"/>
    </row>
    <row r="5" spans="1:5">
      <c r="A5" s="284"/>
      <c r="B5" s="358"/>
      <c r="C5" s="463"/>
      <c r="D5" s="463"/>
      <c r="E5" s="463"/>
    </row>
    <row r="6" spans="1:5">
      <c r="A6" s="284"/>
      <c r="B6" s="358"/>
      <c r="C6" s="463"/>
      <c r="D6" s="463"/>
      <c r="E6" s="463"/>
    </row>
    <row r="7" spans="1:5">
      <c r="A7" s="284"/>
      <c r="B7" s="358"/>
      <c r="C7" s="463"/>
      <c r="D7" s="463"/>
      <c r="E7" s="463"/>
    </row>
    <row r="8" spans="1:5">
      <c r="A8" s="284"/>
      <c r="B8" s="358"/>
      <c r="C8" s="463"/>
      <c r="D8" s="463"/>
      <c r="E8" s="463"/>
    </row>
    <row r="9" spans="1:5">
      <c r="A9" s="284"/>
      <c r="B9" s="358"/>
      <c r="C9" s="463"/>
      <c r="D9" s="463"/>
      <c r="E9" s="463"/>
    </row>
    <row r="11" spans="1:5">
      <c r="A11" s="60" t="s">
        <v>550</v>
      </c>
    </row>
    <row r="12" spans="1:5">
      <c r="A12" s="461" t="s">
        <v>551</v>
      </c>
      <c r="B12" s="461"/>
      <c r="C12" s="461"/>
      <c r="D12" s="461"/>
      <c r="E12" s="285"/>
    </row>
    <row r="13" spans="1:5">
      <c r="A13" s="285"/>
      <c r="B13" s="285"/>
      <c r="C13" s="285"/>
      <c r="D13" s="285"/>
      <c r="E13" s="285"/>
    </row>
    <row r="14" spans="1:5">
      <c r="A14" s="284" t="s">
        <v>316</v>
      </c>
      <c r="B14" s="358" t="s">
        <v>317</v>
      </c>
      <c r="C14" s="463"/>
      <c r="D14" s="463"/>
      <c r="E14" s="463"/>
    </row>
    <row r="15" spans="1:5">
      <c r="A15" s="284"/>
      <c r="B15" s="358"/>
      <c r="C15" s="463"/>
      <c r="D15" s="463"/>
      <c r="E15" s="463"/>
    </row>
    <row r="16" spans="1:5">
      <c r="A16" s="284"/>
      <c r="B16" s="358"/>
      <c r="C16" s="463"/>
      <c r="D16" s="463"/>
      <c r="E16" s="463"/>
    </row>
    <row r="17" spans="1:5">
      <c r="A17" s="284"/>
      <c r="B17" s="358"/>
      <c r="C17" s="463"/>
      <c r="D17" s="463"/>
      <c r="E17" s="463"/>
    </row>
    <row r="18" spans="1:5">
      <c r="A18" s="284"/>
      <c r="B18" s="358"/>
      <c r="C18" s="463"/>
      <c r="D18" s="463"/>
      <c r="E18" s="463"/>
    </row>
    <row r="19" spans="1:5">
      <c r="A19" s="284"/>
      <c r="B19" s="358"/>
      <c r="C19" s="463"/>
      <c r="D19" s="463"/>
      <c r="E19" s="463"/>
    </row>
  </sheetData>
  <mergeCells count="15">
    <mergeCell ref="B18:E18"/>
    <mergeCell ref="B19:E19"/>
    <mergeCell ref="A12:D12"/>
    <mergeCell ref="B14:E14"/>
    <mergeCell ref="B15:E15"/>
    <mergeCell ref="B16:E16"/>
    <mergeCell ref="B17:E17"/>
    <mergeCell ref="A2:D2"/>
    <mergeCell ref="A3:D3"/>
    <mergeCell ref="B8:E8"/>
    <mergeCell ref="B9:E9"/>
    <mergeCell ref="B4:E4"/>
    <mergeCell ref="B5:E5"/>
    <mergeCell ref="B6:E6"/>
    <mergeCell ref="B7:E7"/>
  </mergeCell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8">
    <tabColor indexed="22"/>
  </sheetPr>
  <dimension ref="A1:N44"/>
  <sheetViews>
    <sheetView showGridLines="0" defaultGridColor="0" topLeftCell="A19" colorId="22" zoomScale="90" workbookViewId="0">
      <selection activeCell="B8" sqref="B8"/>
    </sheetView>
  </sheetViews>
  <sheetFormatPr defaultColWidth="11.42578125" defaultRowHeight="12.75"/>
  <cols>
    <col min="1" max="1" width="22.140625" style="63" customWidth="1"/>
    <col min="2" max="2" width="30.140625" style="16" customWidth="1"/>
    <col min="3" max="3" width="24" style="16" customWidth="1"/>
    <col min="4" max="4" width="23.140625" style="16" bestFit="1" customWidth="1"/>
    <col min="5" max="5" width="22.7109375" style="16" customWidth="1"/>
    <col min="6" max="6" width="11.42578125" style="16"/>
    <col min="7" max="14" width="16.5703125" style="181" customWidth="1"/>
    <col min="15" max="16384" width="11.42578125" style="16"/>
  </cols>
  <sheetData>
    <row r="1" spans="1:14" ht="40.5" customHeight="1">
      <c r="A1" s="464" t="s">
        <v>318</v>
      </c>
      <c r="B1" s="464"/>
      <c r="C1" s="464"/>
      <c r="D1" s="464"/>
      <c r="E1" s="464"/>
      <c r="G1" s="485" t="s">
        <v>319</v>
      </c>
      <c r="H1" s="485"/>
      <c r="I1" s="485"/>
      <c r="J1" s="485"/>
      <c r="K1" s="485"/>
    </row>
    <row r="2" spans="1:14" ht="96.6" customHeight="1" thickBot="1">
      <c r="A2" s="472" t="s">
        <v>320</v>
      </c>
      <c r="B2" s="472"/>
      <c r="C2" s="472"/>
      <c r="D2" s="472"/>
      <c r="E2" s="472"/>
      <c r="G2" s="486" t="s">
        <v>321</v>
      </c>
      <c r="H2" s="486"/>
      <c r="I2" s="486"/>
      <c r="J2" s="486"/>
      <c r="K2" s="486"/>
      <c r="L2" s="486"/>
      <c r="M2" s="486"/>
      <c r="N2" s="271"/>
    </row>
    <row r="3" spans="1:14" s="94" customFormat="1" ht="38.450000000000003" customHeight="1">
      <c r="A3" s="64" t="s">
        <v>322</v>
      </c>
      <c r="B3" s="65" t="s">
        <v>323</v>
      </c>
      <c r="C3" s="65" t="s">
        <v>324</v>
      </c>
      <c r="D3" s="65" t="s">
        <v>325</v>
      </c>
      <c r="E3" s="66" t="s">
        <v>326</v>
      </c>
      <c r="G3" s="486"/>
      <c r="H3" s="486"/>
      <c r="I3" s="486"/>
      <c r="J3" s="486"/>
      <c r="K3" s="486"/>
      <c r="L3" s="486"/>
      <c r="M3" s="486"/>
      <c r="N3" s="271"/>
    </row>
    <row r="4" spans="1:14" ht="36.75" thickBot="1">
      <c r="A4" s="84" t="s">
        <v>44</v>
      </c>
      <c r="B4" s="85" t="s">
        <v>327</v>
      </c>
      <c r="C4" s="85" t="s">
        <v>328</v>
      </c>
      <c r="D4" s="85" t="s">
        <v>329</v>
      </c>
      <c r="E4" s="86" t="s">
        <v>330</v>
      </c>
      <c r="G4" s="486"/>
      <c r="H4" s="486"/>
      <c r="I4" s="486"/>
      <c r="J4" s="486"/>
      <c r="K4" s="486"/>
      <c r="L4" s="486"/>
      <c r="M4" s="486"/>
      <c r="N4" s="271"/>
    </row>
    <row r="5" spans="1:14">
      <c r="A5" s="468" t="s">
        <v>331</v>
      </c>
      <c r="B5" s="469"/>
      <c r="C5" s="469"/>
      <c r="D5" s="469"/>
      <c r="E5" s="470"/>
      <c r="G5" s="486"/>
      <c r="H5" s="486"/>
      <c r="I5" s="486"/>
      <c r="J5" s="486"/>
      <c r="K5" s="486"/>
      <c r="L5" s="486"/>
      <c r="M5" s="486"/>
      <c r="N5" s="271"/>
    </row>
    <row r="6" spans="1:14" ht="66" customHeight="1">
      <c r="A6" s="466" t="s">
        <v>332</v>
      </c>
      <c r="B6" s="69" t="s">
        <v>333</v>
      </c>
      <c r="C6" s="69" t="s">
        <v>334</v>
      </c>
      <c r="D6" s="69" t="s">
        <v>335</v>
      </c>
      <c r="E6" s="70" t="s">
        <v>336</v>
      </c>
      <c r="G6" s="487" t="s">
        <v>337</v>
      </c>
      <c r="H6" s="487"/>
      <c r="I6" s="487"/>
      <c r="J6" s="487"/>
      <c r="K6" s="487"/>
      <c r="L6" s="487"/>
      <c r="M6" s="487"/>
      <c r="N6" s="271"/>
    </row>
    <row r="7" spans="1:14" ht="12.75" customHeight="1" thickBot="1">
      <c r="A7" s="466"/>
      <c r="B7" s="69"/>
      <c r="C7" s="69"/>
      <c r="D7" s="69"/>
      <c r="E7" s="70"/>
      <c r="G7" s="487"/>
      <c r="H7" s="487"/>
      <c r="I7" s="487"/>
      <c r="J7" s="487"/>
      <c r="K7" s="487"/>
      <c r="L7" s="487"/>
      <c r="M7" s="487"/>
    </row>
    <row r="8" spans="1:14" ht="60">
      <c r="A8" s="466"/>
      <c r="B8" s="67" t="s">
        <v>338</v>
      </c>
      <c r="C8" s="67" t="s">
        <v>339</v>
      </c>
      <c r="D8" s="67" t="s">
        <v>340</v>
      </c>
      <c r="E8" s="68" t="s">
        <v>341</v>
      </c>
      <c r="G8" s="488" t="s">
        <v>342</v>
      </c>
      <c r="H8" s="491" t="s">
        <v>343</v>
      </c>
      <c r="I8" s="491"/>
      <c r="J8" s="491"/>
      <c r="K8" s="491"/>
      <c r="L8" s="494" t="s">
        <v>344</v>
      </c>
      <c r="M8" s="494"/>
      <c r="N8" s="495"/>
    </row>
    <row r="9" spans="1:14" ht="36">
      <c r="A9" s="466"/>
      <c r="B9" s="67" t="s">
        <v>345</v>
      </c>
      <c r="C9" s="67" t="s">
        <v>346</v>
      </c>
      <c r="D9" s="67" t="s">
        <v>347</v>
      </c>
      <c r="E9" s="68" t="s">
        <v>348</v>
      </c>
      <c r="G9" s="489"/>
      <c r="H9" s="492"/>
      <c r="I9" s="492"/>
      <c r="J9" s="492"/>
      <c r="K9" s="492"/>
      <c r="L9" s="496"/>
      <c r="M9" s="496"/>
      <c r="N9" s="497"/>
    </row>
    <row r="10" spans="1:14" ht="33" customHeight="1">
      <c r="A10" s="466"/>
      <c r="B10" s="69" t="s">
        <v>349</v>
      </c>
      <c r="C10" s="69" t="s">
        <v>350</v>
      </c>
      <c r="D10" s="69"/>
      <c r="E10" s="70"/>
      <c r="G10" s="489"/>
      <c r="H10" s="492"/>
      <c r="I10" s="492"/>
      <c r="J10" s="492"/>
      <c r="K10" s="492"/>
      <c r="L10" s="498" t="s">
        <v>318</v>
      </c>
      <c r="M10" s="498"/>
      <c r="N10" s="499"/>
    </row>
    <row r="11" spans="1:14" ht="24">
      <c r="A11" s="466"/>
      <c r="B11" s="69" t="s">
        <v>351</v>
      </c>
      <c r="C11" s="69"/>
      <c r="D11" s="69"/>
      <c r="E11" s="70"/>
      <c r="G11" s="489"/>
      <c r="H11" s="492"/>
      <c r="I11" s="492"/>
      <c r="J11" s="492"/>
      <c r="K11" s="492"/>
      <c r="L11" s="272" t="s">
        <v>215</v>
      </c>
      <c r="M11" s="500" t="s">
        <v>241</v>
      </c>
      <c r="N11" s="501"/>
    </row>
    <row r="12" spans="1:14" ht="36">
      <c r="A12" s="466"/>
      <c r="B12" s="69" t="s">
        <v>352</v>
      </c>
      <c r="C12" s="69"/>
      <c r="D12" s="69" t="s">
        <v>353</v>
      </c>
      <c r="E12" s="70" t="s">
        <v>354</v>
      </c>
      <c r="G12" s="489"/>
      <c r="H12" s="492"/>
      <c r="I12" s="492"/>
      <c r="J12" s="492"/>
      <c r="K12" s="492"/>
      <c r="L12" s="502" t="s">
        <v>325</v>
      </c>
      <c r="M12" s="504" t="s">
        <v>355</v>
      </c>
      <c r="N12" s="505"/>
    </row>
    <row r="13" spans="1:14" ht="60.75" thickBot="1">
      <c r="A13" s="467"/>
      <c r="B13" s="71"/>
      <c r="C13" s="72" t="s">
        <v>356</v>
      </c>
      <c r="D13" s="71"/>
      <c r="E13" s="73" t="s">
        <v>357</v>
      </c>
      <c r="G13" s="490"/>
      <c r="H13" s="493"/>
      <c r="I13" s="493"/>
      <c r="J13" s="493"/>
      <c r="K13" s="493"/>
      <c r="L13" s="503"/>
      <c r="M13" s="506"/>
      <c r="N13" s="507"/>
    </row>
    <row r="14" spans="1:14">
      <c r="A14" s="74"/>
      <c r="B14" s="75"/>
      <c r="C14" s="76"/>
      <c r="D14" s="75"/>
      <c r="E14" s="76"/>
    </row>
    <row r="15" spans="1:14" ht="15.75">
      <c r="A15" s="465" t="s">
        <v>358</v>
      </c>
      <c r="B15" s="465"/>
      <c r="C15" s="465"/>
      <c r="D15" s="465"/>
      <c r="E15" s="465"/>
    </row>
    <row r="16" spans="1:14">
      <c r="A16" s="276"/>
      <c r="B16" s="17"/>
      <c r="C16" s="17"/>
      <c r="D16" s="17"/>
      <c r="E16" s="17"/>
    </row>
    <row r="17" spans="1:5">
      <c r="A17" s="471" t="s">
        <v>359</v>
      </c>
      <c r="B17" s="471"/>
      <c r="C17" s="471"/>
      <c r="D17" s="471"/>
      <c r="E17" s="471"/>
    </row>
    <row r="18" spans="1:5" ht="12.75" customHeight="1">
      <c r="A18" s="471"/>
      <c r="B18" s="471"/>
      <c r="C18" s="471"/>
      <c r="D18" s="471"/>
      <c r="E18" s="471"/>
    </row>
    <row r="19" spans="1:5">
      <c r="A19" s="471"/>
      <c r="B19" s="471"/>
      <c r="C19" s="471"/>
      <c r="D19" s="471"/>
      <c r="E19" s="471"/>
    </row>
    <row r="20" spans="1:5" ht="13.5" thickBot="1">
      <c r="A20" s="277" t="s">
        <v>0</v>
      </c>
      <c r="B20" s="2"/>
      <c r="C20" s="2"/>
      <c r="D20" s="2"/>
      <c r="E20" s="2"/>
    </row>
    <row r="21" spans="1:5">
      <c r="A21" s="277"/>
      <c r="B21" s="473" t="s">
        <v>360</v>
      </c>
      <c r="C21" s="474"/>
      <c r="D21" s="474"/>
      <c r="E21" s="475"/>
    </row>
    <row r="22" spans="1:5">
      <c r="A22" s="277"/>
      <c r="B22" s="476"/>
      <c r="C22" s="477"/>
      <c r="D22" s="477"/>
      <c r="E22" s="478"/>
    </row>
    <row r="23" spans="1:5">
      <c r="A23" s="277"/>
      <c r="B23" s="479" t="s">
        <v>361</v>
      </c>
      <c r="C23" s="480"/>
      <c r="D23" s="480"/>
      <c r="E23" s="481"/>
    </row>
    <row r="24" spans="1:5">
      <c r="A24" s="277"/>
      <c r="B24" s="479"/>
      <c r="C24" s="480"/>
      <c r="D24" s="480"/>
      <c r="E24" s="481"/>
    </row>
    <row r="25" spans="1:5">
      <c r="A25" s="277"/>
      <c r="B25" s="479" t="s">
        <v>362</v>
      </c>
      <c r="C25" s="480"/>
      <c r="D25" s="480"/>
      <c r="E25" s="481"/>
    </row>
    <row r="26" spans="1:5">
      <c r="A26" s="277"/>
      <c r="B26" s="479"/>
      <c r="C26" s="480"/>
      <c r="D26" s="480"/>
      <c r="E26" s="481"/>
    </row>
    <row r="27" spans="1:5">
      <c r="A27" s="277"/>
      <c r="B27" s="479"/>
      <c r="C27" s="480"/>
      <c r="D27" s="480"/>
      <c r="E27" s="481"/>
    </row>
    <row r="28" spans="1:5">
      <c r="A28" s="277"/>
      <c r="B28" s="479" t="s">
        <v>363</v>
      </c>
      <c r="C28" s="480"/>
      <c r="D28" s="480"/>
      <c r="E28" s="481"/>
    </row>
    <row r="29" spans="1:5">
      <c r="A29" s="277"/>
      <c r="B29" s="479"/>
      <c r="C29" s="480"/>
      <c r="D29" s="480"/>
      <c r="E29" s="481"/>
    </row>
    <row r="30" spans="1:5">
      <c r="A30" s="277"/>
      <c r="B30" s="479"/>
      <c r="C30" s="480"/>
      <c r="D30" s="480"/>
      <c r="E30" s="481"/>
    </row>
    <row r="31" spans="1:5">
      <c r="A31" s="277"/>
      <c r="B31" s="479"/>
      <c r="C31" s="480"/>
      <c r="D31" s="480"/>
      <c r="E31" s="481"/>
    </row>
    <row r="32" spans="1:5">
      <c r="A32" s="277" t="s">
        <v>0</v>
      </c>
      <c r="B32" s="479" t="s">
        <v>364</v>
      </c>
      <c r="C32" s="480"/>
      <c r="D32" s="480"/>
      <c r="E32" s="481"/>
    </row>
    <row r="33" spans="1:5">
      <c r="A33" s="277"/>
      <c r="B33" s="479"/>
      <c r="C33" s="480"/>
      <c r="D33" s="480"/>
      <c r="E33" s="481"/>
    </row>
    <row r="34" spans="1:5">
      <c r="A34" s="277"/>
      <c r="B34" s="479"/>
      <c r="C34" s="480"/>
      <c r="D34" s="480"/>
      <c r="E34" s="481"/>
    </row>
    <row r="35" spans="1:5">
      <c r="A35" s="277"/>
      <c r="B35" s="479" t="s">
        <v>365</v>
      </c>
      <c r="C35" s="480"/>
      <c r="D35" s="480"/>
      <c r="E35" s="481"/>
    </row>
    <row r="36" spans="1:5">
      <c r="A36" s="277"/>
      <c r="B36" s="479"/>
      <c r="C36" s="480"/>
      <c r="D36" s="480"/>
      <c r="E36" s="481"/>
    </row>
    <row r="37" spans="1:5">
      <c r="A37" s="277"/>
      <c r="B37" s="479"/>
      <c r="C37" s="480"/>
      <c r="D37" s="480"/>
      <c r="E37" s="481"/>
    </row>
    <row r="38" spans="1:5">
      <c r="A38" s="277"/>
      <c r="B38" s="479"/>
      <c r="C38" s="480"/>
      <c r="D38" s="480"/>
      <c r="E38" s="481"/>
    </row>
    <row r="39" spans="1:5">
      <c r="A39" s="277"/>
      <c r="B39" s="479" t="s">
        <v>366</v>
      </c>
      <c r="C39" s="480"/>
      <c r="D39" s="480"/>
      <c r="E39" s="481"/>
    </row>
    <row r="40" spans="1:5">
      <c r="A40" s="277"/>
      <c r="B40" s="479"/>
      <c r="C40" s="480"/>
      <c r="D40" s="480"/>
      <c r="E40" s="481"/>
    </row>
    <row r="41" spans="1:5" ht="13.5" thickBot="1">
      <c r="A41" s="277"/>
      <c r="B41" s="482"/>
      <c r="C41" s="483"/>
      <c r="D41" s="483"/>
      <c r="E41" s="484"/>
    </row>
    <row r="42" spans="1:5">
      <c r="A42" s="278"/>
      <c r="B42" s="18"/>
      <c r="C42" s="18"/>
      <c r="D42" s="18"/>
      <c r="E42" s="18"/>
    </row>
    <row r="43" spans="1:5">
      <c r="A43" s="278"/>
      <c r="B43" s="18"/>
      <c r="C43" s="18"/>
      <c r="D43" s="18"/>
      <c r="E43" s="18"/>
    </row>
    <row r="44" spans="1:5">
      <c r="A44" s="278"/>
      <c r="B44" s="18"/>
      <c r="C44" s="18"/>
      <c r="D44" s="18"/>
      <c r="E44" s="18"/>
    </row>
  </sheetData>
  <customSheetViews>
    <customSheetView guid="{1EC8F930-14F4-4F68-ADDF-6F0F0EB721BA}" scale="90" colorId="22" showGridLines="0" topLeftCell="A9">
      <selection activeCell="A16" sqref="A16:E18"/>
      <pageMargins left="0" right="0" top="0" bottom="0" header="0" footer="0"/>
      <printOptions horizontalCentered="1"/>
      <pageSetup paperSize="9" orientation="landscape"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cale="90" colorId="22" showGridLines="0" topLeftCell="A9">
      <selection activeCell="A16" sqref="A16:E18"/>
      <pageMargins left="0" right="0" top="0" bottom="0" header="0" footer="0"/>
      <printOptions horizontalCentered="1"/>
      <pageSetup paperSize="9" orientation="landscape"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23">
    <mergeCell ref="G1:K1"/>
    <mergeCell ref="G2:M5"/>
    <mergeCell ref="G6:M7"/>
    <mergeCell ref="G8:G13"/>
    <mergeCell ref="H8:K13"/>
    <mergeCell ref="L8:N9"/>
    <mergeCell ref="L10:N10"/>
    <mergeCell ref="M11:N11"/>
    <mergeCell ref="L12:L13"/>
    <mergeCell ref="M12:N13"/>
    <mergeCell ref="B21:E22"/>
    <mergeCell ref="B23:E24"/>
    <mergeCell ref="B39:E41"/>
    <mergeCell ref="B25:E27"/>
    <mergeCell ref="B28:E31"/>
    <mergeCell ref="B32:E34"/>
    <mergeCell ref="B35:E38"/>
    <mergeCell ref="A1:E1"/>
    <mergeCell ref="A15:E15"/>
    <mergeCell ref="A6:A13"/>
    <mergeCell ref="A5:E5"/>
    <mergeCell ref="A17:E19"/>
    <mergeCell ref="A2:E2"/>
  </mergeCells>
  <phoneticPr fontId="50" type="noConversion"/>
  <printOptions horizontalCentered="1"/>
  <pageMargins left="0.78740157480314965" right="0.39370078740157483" top="0.78" bottom="0.82677165354330717" header="0.19685039370078741" footer="0.31496062992125984"/>
  <pageSetup paperSize="9" orientation="landscape" r:id="rId3"/>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1">
    <tabColor indexed="22"/>
  </sheetPr>
  <dimension ref="A1:AH203"/>
  <sheetViews>
    <sheetView showGridLines="0" defaultGridColor="0" colorId="22" zoomScale="70" zoomScaleNormal="70" workbookViewId="0">
      <selection activeCell="I172" sqref="I172:L172"/>
    </sheetView>
  </sheetViews>
  <sheetFormatPr defaultColWidth="9.140625" defaultRowHeight="12.75"/>
  <cols>
    <col min="1" max="1" width="14.7109375" style="181" customWidth="1"/>
    <col min="2" max="17" width="9.140625" style="181"/>
    <col min="18" max="18" width="9.140625" style="181" customWidth="1"/>
    <col min="19" max="33" width="9.140625" style="181"/>
    <col min="34" max="34" width="9.140625" style="181" customWidth="1"/>
    <col min="35" max="16384" width="9.140625" style="181"/>
  </cols>
  <sheetData>
    <row r="1" spans="1:33" ht="13.5" thickBot="1"/>
    <row r="2" spans="1:33" ht="69.75" customHeight="1" thickBot="1">
      <c r="B2" s="616" t="s">
        <v>218</v>
      </c>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8"/>
    </row>
    <row r="3" spans="1:33" ht="15">
      <c r="B3" s="231" t="s">
        <v>367</v>
      </c>
    </row>
    <row r="4" spans="1:33" ht="13.5" thickBot="1">
      <c r="B4" s="232"/>
    </row>
    <row r="5" spans="1:33" s="183" customFormat="1" ht="16.5" customHeight="1">
      <c r="A5" s="619"/>
      <c r="B5" s="620" t="s">
        <v>322</v>
      </c>
      <c r="C5" s="621"/>
      <c r="D5" s="621"/>
      <c r="E5" s="587" t="s">
        <v>218</v>
      </c>
      <c r="F5" s="587"/>
      <c r="G5" s="587"/>
      <c r="H5" s="587"/>
      <c r="I5" s="587"/>
      <c r="J5" s="587"/>
      <c r="K5" s="587"/>
      <c r="L5" s="587"/>
      <c r="M5" s="587"/>
      <c r="N5" s="587"/>
      <c r="O5" s="587"/>
      <c r="P5" s="587"/>
      <c r="Q5" s="587"/>
      <c r="R5" s="587"/>
      <c r="S5" s="624"/>
    </row>
    <row r="6" spans="1:33" s="183" customFormat="1" ht="16.5" customHeight="1">
      <c r="A6" s="619"/>
      <c r="B6" s="622"/>
      <c r="C6" s="623"/>
      <c r="D6" s="623"/>
      <c r="E6" s="625" t="s">
        <v>368</v>
      </c>
      <c r="F6" s="625"/>
      <c r="G6" s="625"/>
      <c r="H6" s="625" t="s">
        <v>369</v>
      </c>
      <c r="I6" s="625"/>
      <c r="J6" s="625"/>
      <c r="K6" s="625" t="s">
        <v>370</v>
      </c>
      <c r="L6" s="625"/>
      <c r="M6" s="625"/>
      <c r="N6" s="625" t="s">
        <v>371</v>
      </c>
      <c r="O6" s="625"/>
      <c r="P6" s="625"/>
      <c r="Q6" s="625" t="s">
        <v>372</v>
      </c>
      <c r="R6" s="625"/>
      <c r="S6" s="626"/>
    </row>
    <row r="7" spans="1:33" s="183" customFormat="1" ht="16.5" customHeight="1" thickBot="1">
      <c r="A7" s="273"/>
      <c r="B7" s="627" t="s">
        <v>44</v>
      </c>
      <c r="C7" s="628"/>
      <c r="D7" s="628"/>
      <c r="E7" s="629" t="s">
        <v>373</v>
      </c>
      <c r="F7" s="629"/>
      <c r="G7" s="629"/>
      <c r="H7" s="629" t="s">
        <v>374</v>
      </c>
      <c r="I7" s="629"/>
      <c r="J7" s="629"/>
      <c r="K7" s="629" t="s">
        <v>375</v>
      </c>
      <c r="L7" s="629"/>
      <c r="M7" s="629"/>
      <c r="N7" s="629" t="s">
        <v>376</v>
      </c>
      <c r="O7" s="629"/>
      <c r="P7" s="629"/>
      <c r="Q7" s="629" t="s">
        <v>377</v>
      </c>
      <c r="R7" s="629"/>
      <c r="S7" s="630"/>
    </row>
    <row r="8" spans="1:33">
      <c r="A8" s="100"/>
      <c r="B8" s="232"/>
    </row>
    <row r="9" spans="1:33" ht="15">
      <c r="B9" s="231" t="s">
        <v>378</v>
      </c>
    </row>
    <row r="10" spans="1:33" ht="13.5" thickBot="1">
      <c r="B10" s="232"/>
    </row>
    <row r="11" spans="1:33">
      <c r="B11" s="631" t="s">
        <v>379</v>
      </c>
      <c r="C11" s="632"/>
      <c r="D11" s="632"/>
      <c r="E11" s="632"/>
      <c r="F11" s="632"/>
      <c r="G11" s="632"/>
      <c r="H11" s="632"/>
      <c r="I11" s="632"/>
      <c r="J11" s="632"/>
      <c r="K11" s="632"/>
      <c r="L11" s="632"/>
      <c r="M11" s="632"/>
      <c r="N11" s="632"/>
      <c r="O11" s="632"/>
      <c r="P11" s="632"/>
      <c r="Q11" s="632"/>
      <c r="R11" s="632"/>
      <c r="S11" s="632"/>
      <c r="T11" s="632"/>
      <c r="U11" s="632"/>
      <c r="V11" s="632"/>
      <c r="W11" s="632"/>
      <c r="X11" s="632"/>
      <c r="Y11" s="632"/>
      <c r="Z11" s="632"/>
      <c r="AA11" s="632"/>
      <c r="AB11" s="632"/>
      <c r="AC11" s="632"/>
      <c r="AD11" s="632"/>
      <c r="AE11" s="632"/>
      <c r="AF11" s="632"/>
      <c r="AG11" s="633"/>
    </row>
    <row r="12" spans="1:33">
      <c r="B12" s="634"/>
      <c r="C12" s="635"/>
      <c r="D12" s="635"/>
      <c r="E12" s="635"/>
      <c r="F12" s="635"/>
      <c r="G12" s="635"/>
      <c r="H12" s="635"/>
      <c r="I12" s="635"/>
      <c r="J12" s="635"/>
      <c r="K12" s="635"/>
      <c r="L12" s="635"/>
      <c r="M12" s="635"/>
      <c r="N12" s="635"/>
      <c r="O12" s="635"/>
      <c r="P12" s="635"/>
      <c r="Q12" s="635"/>
      <c r="R12" s="635"/>
      <c r="S12" s="635"/>
      <c r="T12" s="635"/>
      <c r="U12" s="635"/>
      <c r="V12" s="635"/>
      <c r="W12" s="635"/>
      <c r="X12" s="635"/>
      <c r="Y12" s="635"/>
      <c r="Z12" s="635"/>
      <c r="AA12" s="635"/>
      <c r="AB12" s="635"/>
      <c r="AC12" s="635"/>
      <c r="AD12" s="635"/>
      <c r="AE12" s="635"/>
      <c r="AF12" s="635"/>
      <c r="AG12" s="636"/>
    </row>
    <row r="13" spans="1:33">
      <c r="B13" s="634"/>
      <c r="C13" s="635"/>
      <c r="D13" s="635"/>
      <c r="E13" s="635"/>
      <c r="F13" s="635"/>
      <c r="G13" s="635"/>
      <c r="H13" s="635"/>
      <c r="I13" s="635"/>
      <c r="J13" s="635"/>
      <c r="K13" s="635"/>
      <c r="L13" s="635"/>
      <c r="M13" s="635"/>
      <c r="N13" s="635"/>
      <c r="O13" s="635"/>
      <c r="P13" s="635"/>
      <c r="Q13" s="635"/>
      <c r="R13" s="635"/>
      <c r="S13" s="635"/>
      <c r="T13" s="635"/>
      <c r="U13" s="635"/>
      <c r="V13" s="635"/>
      <c r="W13" s="635"/>
      <c r="X13" s="635"/>
      <c r="Y13" s="635"/>
      <c r="Z13" s="635"/>
      <c r="AA13" s="635"/>
      <c r="AB13" s="635"/>
      <c r="AC13" s="635"/>
      <c r="AD13" s="635"/>
      <c r="AE13" s="635"/>
      <c r="AF13" s="635"/>
      <c r="AG13" s="636"/>
    </row>
    <row r="14" spans="1:33">
      <c r="B14" s="634"/>
      <c r="C14" s="635"/>
      <c r="D14" s="635"/>
      <c r="E14" s="635"/>
      <c r="F14" s="635"/>
      <c r="G14" s="635"/>
      <c r="H14" s="635"/>
      <c r="I14" s="635"/>
      <c r="J14" s="635"/>
      <c r="K14" s="635"/>
      <c r="L14" s="635"/>
      <c r="M14" s="635"/>
      <c r="N14" s="635"/>
      <c r="O14" s="635"/>
      <c r="P14" s="635"/>
      <c r="Q14" s="635"/>
      <c r="R14" s="635"/>
      <c r="S14" s="635"/>
      <c r="T14" s="635"/>
      <c r="U14" s="635"/>
      <c r="V14" s="635"/>
      <c r="W14" s="635"/>
      <c r="X14" s="635"/>
      <c r="Y14" s="635"/>
      <c r="Z14" s="635"/>
      <c r="AA14" s="635"/>
      <c r="AB14" s="635"/>
      <c r="AC14" s="635"/>
      <c r="AD14" s="635"/>
      <c r="AE14" s="635"/>
      <c r="AF14" s="635"/>
      <c r="AG14" s="636"/>
    </row>
    <row r="15" spans="1:33">
      <c r="B15" s="634"/>
      <c r="C15" s="635"/>
      <c r="D15" s="635"/>
      <c r="E15" s="635"/>
      <c r="F15" s="635"/>
      <c r="G15" s="635"/>
      <c r="H15" s="635"/>
      <c r="I15" s="635"/>
      <c r="J15" s="635"/>
      <c r="K15" s="635"/>
      <c r="L15" s="635"/>
      <c r="M15" s="635"/>
      <c r="N15" s="635"/>
      <c r="O15" s="635"/>
      <c r="P15" s="635"/>
      <c r="Q15" s="635"/>
      <c r="R15" s="635"/>
      <c r="S15" s="635"/>
      <c r="T15" s="635"/>
      <c r="U15" s="635"/>
      <c r="V15" s="635"/>
      <c r="W15" s="635"/>
      <c r="X15" s="635"/>
      <c r="Y15" s="635"/>
      <c r="Z15" s="635"/>
      <c r="AA15" s="635"/>
      <c r="AB15" s="635"/>
      <c r="AC15" s="635"/>
      <c r="AD15" s="635"/>
      <c r="AE15" s="635"/>
      <c r="AF15" s="635"/>
      <c r="AG15" s="636"/>
    </row>
    <row r="16" spans="1:33" ht="22.5" customHeight="1" thickBot="1">
      <c r="B16" s="637"/>
      <c r="C16" s="638"/>
      <c r="D16" s="638"/>
      <c r="E16" s="638"/>
      <c r="F16" s="638"/>
      <c r="G16" s="638"/>
      <c r="H16" s="638"/>
      <c r="I16" s="638"/>
      <c r="J16" s="638"/>
      <c r="K16" s="638"/>
      <c r="L16" s="638"/>
      <c r="M16" s="638"/>
      <c r="N16" s="638"/>
      <c r="O16" s="638"/>
      <c r="P16" s="638"/>
      <c r="Q16" s="638"/>
      <c r="R16" s="638"/>
      <c r="S16" s="638"/>
      <c r="T16" s="638"/>
      <c r="U16" s="638"/>
      <c r="V16" s="638"/>
      <c r="W16" s="638"/>
      <c r="X16" s="638"/>
      <c r="Y16" s="638"/>
      <c r="Z16" s="638"/>
      <c r="AA16" s="638"/>
      <c r="AB16" s="638"/>
      <c r="AC16" s="638"/>
      <c r="AD16" s="638"/>
      <c r="AE16" s="638"/>
      <c r="AF16" s="638"/>
      <c r="AG16" s="639"/>
    </row>
    <row r="18" spans="2:19" ht="13.5" thickBot="1"/>
    <row r="19" spans="2:19" s="183" customFormat="1" ht="16.5" customHeight="1">
      <c r="B19" s="586" t="s">
        <v>380</v>
      </c>
      <c r="C19" s="587"/>
      <c r="D19" s="587"/>
      <c r="E19" s="565" t="s">
        <v>381</v>
      </c>
      <c r="F19" s="565"/>
      <c r="G19" s="565"/>
      <c r="H19" s="565"/>
      <c r="I19" s="565"/>
      <c r="J19" s="565"/>
      <c r="K19" s="565"/>
      <c r="L19" s="565"/>
      <c r="M19" s="565"/>
      <c r="N19" s="565"/>
      <c r="O19" s="565"/>
      <c r="P19" s="565"/>
      <c r="Q19" s="565"/>
      <c r="R19" s="565"/>
      <c r="S19" s="566"/>
    </row>
    <row r="20" spans="2:19" s="183" customFormat="1" ht="16.5" customHeight="1">
      <c r="B20" s="588"/>
      <c r="C20" s="589"/>
      <c r="D20" s="589"/>
      <c r="E20" s="567" t="s">
        <v>368</v>
      </c>
      <c r="F20" s="567"/>
      <c r="G20" s="567"/>
      <c r="H20" s="567" t="s">
        <v>369</v>
      </c>
      <c r="I20" s="567"/>
      <c r="J20" s="567"/>
      <c r="K20" s="567" t="s">
        <v>370</v>
      </c>
      <c r="L20" s="567"/>
      <c r="M20" s="567"/>
      <c r="N20" s="567" t="s">
        <v>371</v>
      </c>
      <c r="O20" s="567"/>
      <c r="P20" s="567"/>
      <c r="Q20" s="567" t="s">
        <v>372</v>
      </c>
      <c r="R20" s="567"/>
      <c r="S20" s="568"/>
    </row>
    <row r="21" spans="2:19" s="183" customFormat="1" ht="16.5" customHeight="1" thickBot="1">
      <c r="B21" s="590"/>
      <c r="C21" s="591"/>
      <c r="D21" s="591"/>
      <c r="E21" s="591" t="s">
        <v>19</v>
      </c>
      <c r="F21" s="591"/>
      <c r="G21" s="591"/>
      <c r="H21" s="569" t="s">
        <v>382</v>
      </c>
      <c r="I21" s="569"/>
      <c r="J21" s="569"/>
      <c r="K21" s="569" t="s">
        <v>383</v>
      </c>
      <c r="L21" s="569"/>
      <c r="M21" s="569"/>
      <c r="N21" s="569" t="s">
        <v>384</v>
      </c>
      <c r="O21" s="569"/>
      <c r="P21" s="569"/>
      <c r="Q21" s="569" t="s">
        <v>385</v>
      </c>
      <c r="R21" s="569"/>
      <c r="S21" s="570"/>
    </row>
    <row r="22" spans="2:19" ht="12.75" customHeight="1">
      <c r="H22" s="233"/>
      <c r="I22" s="233"/>
      <c r="J22" s="233"/>
      <c r="K22" s="233"/>
      <c r="L22" s="233"/>
      <c r="M22" s="233"/>
      <c r="N22" s="233"/>
      <c r="O22" s="233"/>
      <c r="P22" s="233"/>
      <c r="Q22" s="233"/>
      <c r="R22" s="233"/>
    </row>
    <row r="23" spans="2:19" ht="13.5" thickBot="1"/>
    <row r="24" spans="2:19" s="183" customFormat="1" ht="16.5" customHeight="1">
      <c r="B24" s="556" t="s">
        <v>380</v>
      </c>
      <c r="C24" s="557"/>
      <c r="D24" s="558"/>
      <c r="E24" s="565" t="s">
        <v>386</v>
      </c>
      <c r="F24" s="565"/>
      <c r="G24" s="565"/>
      <c r="H24" s="565"/>
      <c r="I24" s="565"/>
      <c r="J24" s="565"/>
      <c r="K24" s="565"/>
      <c r="L24" s="565"/>
      <c r="M24" s="565"/>
      <c r="N24" s="565"/>
      <c r="O24" s="565"/>
      <c r="P24" s="565"/>
      <c r="Q24" s="565"/>
      <c r="R24" s="565"/>
      <c r="S24" s="566"/>
    </row>
    <row r="25" spans="2:19" s="183" customFormat="1" ht="16.5" customHeight="1">
      <c r="B25" s="559"/>
      <c r="C25" s="560"/>
      <c r="D25" s="561"/>
      <c r="E25" s="567" t="s">
        <v>368</v>
      </c>
      <c r="F25" s="567"/>
      <c r="G25" s="567"/>
      <c r="H25" s="567" t="s">
        <v>369</v>
      </c>
      <c r="I25" s="567"/>
      <c r="J25" s="567"/>
      <c r="K25" s="567" t="s">
        <v>370</v>
      </c>
      <c r="L25" s="567"/>
      <c r="M25" s="567"/>
      <c r="N25" s="567" t="s">
        <v>371</v>
      </c>
      <c r="O25" s="567"/>
      <c r="P25" s="567"/>
      <c r="Q25" s="567" t="s">
        <v>372</v>
      </c>
      <c r="R25" s="567"/>
      <c r="S25" s="568"/>
    </row>
    <row r="26" spans="2:19" s="183" customFormat="1" ht="16.5" customHeight="1">
      <c r="B26" s="559"/>
      <c r="C26" s="560"/>
      <c r="D26" s="561"/>
      <c r="E26" s="567" t="s">
        <v>387</v>
      </c>
      <c r="F26" s="567"/>
      <c r="G26" s="567"/>
      <c r="H26" s="567" t="s">
        <v>388</v>
      </c>
      <c r="I26" s="567"/>
      <c r="J26" s="567"/>
      <c r="K26" s="567" t="s">
        <v>389</v>
      </c>
      <c r="L26" s="567"/>
      <c r="M26" s="567"/>
      <c r="N26" s="567" t="s">
        <v>390</v>
      </c>
      <c r="O26" s="567"/>
      <c r="P26" s="567"/>
      <c r="Q26" s="567" t="s">
        <v>391</v>
      </c>
      <c r="R26" s="567"/>
      <c r="S26" s="568"/>
    </row>
    <row r="27" spans="2:19" ht="12.75" customHeight="1">
      <c r="B27" s="559"/>
      <c r="C27" s="560"/>
      <c r="D27" s="561"/>
      <c r="E27" s="567"/>
      <c r="F27" s="567"/>
      <c r="G27" s="567"/>
      <c r="H27" s="567"/>
      <c r="I27" s="567"/>
      <c r="J27" s="567"/>
      <c r="K27" s="567"/>
      <c r="L27" s="567"/>
      <c r="M27" s="567"/>
      <c r="N27" s="567"/>
      <c r="O27" s="567"/>
      <c r="P27" s="567"/>
      <c r="Q27" s="567"/>
      <c r="R27" s="567"/>
      <c r="S27" s="568"/>
    </row>
    <row r="28" spans="2:19" ht="12.75" customHeight="1">
      <c r="B28" s="559"/>
      <c r="C28" s="560"/>
      <c r="D28" s="561"/>
      <c r="E28" s="567"/>
      <c r="F28" s="567"/>
      <c r="G28" s="567"/>
      <c r="H28" s="567"/>
      <c r="I28" s="567"/>
      <c r="J28" s="567"/>
      <c r="K28" s="567"/>
      <c r="L28" s="567"/>
      <c r="M28" s="567"/>
      <c r="N28" s="567"/>
      <c r="O28" s="567"/>
      <c r="P28" s="567"/>
      <c r="Q28" s="567"/>
      <c r="R28" s="567"/>
      <c r="S28" s="568"/>
    </row>
    <row r="29" spans="2:19" ht="12.75" customHeight="1">
      <c r="B29" s="559"/>
      <c r="C29" s="560"/>
      <c r="D29" s="561"/>
      <c r="E29" s="567"/>
      <c r="F29" s="567"/>
      <c r="G29" s="567"/>
      <c r="H29" s="567"/>
      <c r="I29" s="567"/>
      <c r="J29" s="567"/>
      <c r="K29" s="567"/>
      <c r="L29" s="567"/>
      <c r="M29" s="567"/>
      <c r="N29" s="567"/>
      <c r="O29" s="567"/>
      <c r="P29" s="567"/>
      <c r="Q29" s="567"/>
      <c r="R29" s="567"/>
      <c r="S29" s="568"/>
    </row>
    <row r="30" spans="2:19" ht="12.75" customHeight="1">
      <c r="B30" s="559"/>
      <c r="C30" s="560"/>
      <c r="D30" s="561"/>
      <c r="E30" s="567"/>
      <c r="F30" s="567"/>
      <c r="G30" s="567"/>
      <c r="H30" s="567"/>
      <c r="I30" s="567"/>
      <c r="J30" s="567"/>
      <c r="K30" s="567"/>
      <c r="L30" s="567"/>
      <c r="M30" s="567"/>
      <c r="N30" s="567"/>
      <c r="O30" s="567"/>
      <c r="P30" s="567"/>
      <c r="Q30" s="567"/>
      <c r="R30" s="567"/>
      <c r="S30" s="568"/>
    </row>
    <row r="31" spans="2:19" ht="12.75" customHeight="1">
      <c r="B31" s="559"/>
      <c r="C31" s="560"/>
      <c r="D31" s="561"/>
      <c r="E31" s="567"/>
      <c r="F31" s="567"/>
      <c r="G31" s="567"/>
      <c r="H31" s="567"/>
      <c r="I31" s="567"/>
      <c r="J31" s="567"/>
      <c r="K31" s="567"/>
      <c r="L31" s="567"/>
      <c r="M31" s="567"/>
      <c r="N31" s="567"/>
      <c r="O31" s="567"/>
      <c r="P31" s="567"/>
      <c r="Q31" s="567"/>
      <c r="R31" s="567"/>
      <c r="S31" s="568"/>
    </row>
    <row r="32" spans="2:19" ht="15.75" customHeight="1" thickBot="1">
      <c r="B32" s="562"/>
      <c r="C32" s="563"/>
      <c r="D32" s="564"/>
      <c r="E32" s="569"/>
      <c r="F32" s="569"/>
      <c r="G32" s="569"/>
      <c r="H32" s="569"/>
      <c r="I32" s="569"/>
      <c r="J32" s="569"/>
      <c r="K32" s="569"/>
      <c r="L32" s="569"/>
      <c r="M32" s="569"/>
      <c r="N32" s="569"/>
      <c r="O32" s="569"/>
      <c r="P32" s="569"/>
      <c r="Q32" s="569"/>
      <c r="R32" s="569"/>
      <c r="S32" s="570"/>
    </row>
    <row r="34" spans="2:33" ht="33.75" customHeight="1">
      <c r="B34" s="609" t="s">
        <v>392</v>
      </c>
      <c r="C34" s="609"/>
      <c r="D34" s="609"/>
      <c r="E34" s="609"/>
      <c r="F34" s="609"/>
      <c r="G34" s="609"/>
      <c r="H34" s="609"/>
      <c r="I34" s="609"/>
      <c r="J34" s="609"/>
      <c r="K34" s="609"/>
      <c r="L34" s="609"/>
      <c r="M34" s="609"/>
      <c r="N34" s="609"/>
      <c r="O34" s="609"/>
      <c r="P34" s="609"/>
      <c r="Q34" s="609"/>
      <c r="R34" s="609"/>
      <c r="S34" s="609"/>
      <c r="T34" s="609"/>
      <c r="U34" s="609"/>
      <c r="V34" s="609"/>
      <c r="W34" s="609"/>
      <c r="X34" s="609"/>
      <c r="Y34" s="609"/>
      <c r="Z34" s="609"/>
      <c r="AA34" s="609"/>
      <c r="AB34" s="609"/>
      <c r="AC34" s="609"/>
      <c r="AD34" s="609"/>
      <c r="AE34" s="609"/>
      <c r="AF34" s="609"/>
      <c r="AG34" s="609"/>
    </row>
    <row r="35" spans="2:33" ht="13.5" thickBot="1"/>
    <row r="36" spans="2:33" ht="12.75" customHeight="1">
      <c r="B36" s="592" t="s">
        <v>393</v>
      </c>
      <c r="C36" s="593"/>
      <c r="D36" s="593"/>
      <c r="E36" s="593"/>
      <c r="F36" s="593"/>
      <c r="G36" s="593"/>
      <c r="H36" s="593"/>
      <c r="I36" s="593"/>
      <c r="J36" s="593"/>
      <c r="K36" s="593"/>
      <c r="L36" s="593"/>
      <c r="M36" s="593"/>
      <c r="N36" s="593"/>
      <c r="O36" s="593"/>
      <c r="P36" s="593"/>
      <c r="Q36" s="594"/>
      <c r="S36" s="508" t="s">
        <v>394</v>
      </c>
      <c r="T36" s="601"/>
      <c r="U36" s="601"/>
      <c r="V36" s="601"/>
      <c r="W36" s="601"/>
      <c r="X36" s="601"/>
      <c r="Y36" s="601"/>
      <c r="Z36" s="601"/>
      <c r="AA36" s="601"/>
      <c r="AB36" s="601"/>
      <c r="AC36" s="601"/>
      <c r="AD36" s="601"/>
      <c r="AE36" s="601"/>
      <c r="AF36" s="601"/>
      <c r="AG36" s="602"/>
    </row>
    <row r="37" spans="2:33" ht="12.75" customHeight="1">
      <c r="B37" s="595"/>
      <c r="C37" s="596"/>
      <c r="D37" s="596"/>
      <c r="E37" s="596"/>
      <c r="F37" s="596"/>
      <c r="G37" s="596"/>
      <c r="H37" s="596"/>
      <c r="I37" s="596"/>
      <c r="J37" s="596"/>
      <c r="K37" s="596"/>
      <c r="L37" s="596"/>
      <c r="M37" s="596"/>
      <c r="N37" s="596"/>
      <c r="O37" s="596"/>
      <c r="P37" s="596"/>
      <c r="Q37" s="597"/>
      <c r="S37" s="603"/>
      <c r="T37" s="604"/>
      <c r="U37" s="604"/>
      <c r="V37" s="604"/>
      <c r="W37" s="604"/>
      <c r="X37" s="604"/>
      <c r="Y37" s="604"/>
      <c r="Z37" s="604"/>
      <c r="AA37" s="604"/>
      <c r="AB37" s="604"/>
      <c r="AC37" s="604"/>
      <c r="AD37" s="604"/>
      <c r="AE37" s="604"/>
      <c r="AF37" s="604"/>
      <c r="AG37" s="605"/>
    </row>
    <row r="38" spans="2:33" ht="12.75" customHeight="1">
      <c r="B38" s="595"/>
      <c r="C38" s="596"/>
      <c r="D38" s="596"/>
      <c r="E38" s="596"/>
      <c r="F38" s="596"/>
      <c r="G38" s="596"/>
      <c r="H38" s="596"/>
      <c r="I38" s="596"/>
      <c r="J38" s="596"/>
      <c r="K38" s="596"/>
      <c r="L38" s="596"/>
      <c r="M38" s="596"/>
      <c r="N38" s="596"/>
      <c r="O38" s="596"/>
      <c r="P38" s="596"/>
      <c r="Q38" s="597"/>
      <c r="S38" s="603"/>
      <c r="T38" s="604"/>
      <c r="U38" s="604"/>
      <c r="V38" s="604"/>
      <c r="W38" s="604"/>
      <c r="X38" s="604"/>
      <c r="Y38" s="604"/>
      <c r="Z38" s="604"/>
      <c r="AA38" s="604"/>
      <c r="AB38" s="604"/>
      <c r="AC38" s="604"/>
      <c r="AD38" s="604"/>
      <c r="AE38" s="604"/>
      <c r="AF38" s="604"/>
      <c r="AG38" s="605"/>
    </row>
    <row r="39" spans="2:33" ht="12.75" customHeight="1">
      <c r="B39" s="595"/>
      <c r="C39" s="596"/>
      <c r="D39" s="596"/>
      <c r="E39" s="596"/>
      <c r="F39" s="596"/>
      <c r="G39" s="596"/>
      <c r="H39" s="596"/>
      <c r="I39" s="596"/>
      <c r="J39" s="596"/>
      <c r="K39" s="596"/>
      <c r="L39" s="596"/>
      <c r="M39" s="596"/>
      <c r="N39" s="596"/>
      <c r="O39" s="596"/>
      <c r="P39" s="596"/>
      <c r="Q39" s="597"/>
      <c r="S39" s="603"/>
      <c r="T39" s="604"/>
      <c r="U39" s="604"/>
      <c r="V39" s="604"/>
      <c r="W39" s="604"/>
      <c r="X39" s="604"/>
      <c r="Y39" s="604"/>
      <c r="Z39" s="604"/>
      <c r="AA39" s="604"/>
      <c r="AB39" s="604"/>
      <c r="AC39" s="604"/>
      <c r="AD39" s="604"/>
      <c r="AE39" s="604"/>
      <c r="AF39" s="604"/>
      <c r="AG39" s="605"/>
    </row>
    <row r="40" spans="2:33" ht="12.75" customHeight="1">
      <c r="B40" s="595"/>
      <c r="C40" s="596"/>
      <c r="D40" s="596"/>
      <c r="E40" s="596"/>
      <c r="F40" s="596"/>
      <c r="G40" s="596"/>
      <c r="H40" s="596"/>
      <c r="I40" s="596"/>
      <c r="J40" s="596"/>
      <c r="K40" s="596"/>
      <c r="L40" s="596"/>
      <c r="M40" s="596"/>
      <c r="N40" s="596"/>
      <c r="O40" s="596"/>
      <c r="P40" s="596"/>
      <c r="Q40" s="597"/>
      <c r="S40" s="603"/>
      <c r="T40" s="604"/>
      <c r="U40" s="604"/>
      <c r="V40" s="604"/>
      <c r="W40" s="604"/>
      <c r="X40" s="604"/>
      <c r="Y40" s="604"/>
      <c r="Z40" s="604"/>
      <c r="AA40" s="604"/>
      <c r="AB40" s="604"/>
      <c r="AC40" s="604"/>
      <c r="AD40" s="604"/>
      <c r="AE40" s="604"/>
      <c r="AF40" s="604"/>
      <c r="AG40" s="605"/>
    </row>
    <row r="41" spans="2:33" ht="12.75" customHeight="1">
      <c r="B41" s="595"/>
      <c r="C41" s="596"/>
      <c r="D41" s="596"/>
      <c r="E41" s="596"/>
      <c r="F41" s="596"/>
      <c r="G41" s="596"/>
      <c r="H41" s="596"/>
      <c r="I41" s="596"/>
      <c r="J41" s="596"/>
      <c r="K41" s="596"/>
      <c r="L41" s="596"/>
      <c r="M41" s="596"/>
      <c r="N41" s="596"/>
      <c r="O41" s="596"/>
      <c r="P41" s="596"/>
      <c r="Q41" s="597"/>
      <c r="S41" s="603"/>
      <c r="T41" s="604"/>
      <c r="U41" s="604"/>
      <c r="V41" s="604"/>
      <c r="W41" s="604"/>
      <c r="X41" s="604"/>
      <c r="Y41" s="604"/>
      <c r="Z41" s="604"/>
      <c r="AA41" s="604"/>
      <c r="AB41" s="604"/>
      <c r="AC41" s="604"/>
      <c r="AD41" s="604"/>
      <c r="AE41" s="604"/>
      <c r="AF41" s="604"/>
      <c r="AG41" s="605"/>
    </row>
    <row r="42" spans="2:33" ht="12.75" customHeight="1">
      <c r="B42" s="595"/>
      <c r="C42" s="596"/>
      <c r="D42" s="596"/>
      <c r="E42" s="596"/>
      <c r="F42" s="596"/>
      <c r="G42" s="596"/>
      <c r="H42" s="596"/>
      <c r="I42" s="596"/>
      <c r="J42" s="596"/>
      <c r="K42" s="596"/>
      <c r="L42" s="596"/>
      <c r="M42" s="596"/>
      <c r="N42" s="596"/>
      <c r="O42" s="596"/>
      <c r="P42" s="596"/>
      <c r="Q42" s="597"/>
      <c r="S42" s="603"/>
      <c r="T42" s="604"/>
      <c r="U42" s="604"/>
      <c r="V42" s="604"/>
      <c r="W42" s="604"/>
      <c r="X42" s="604"/>
      <c r="Y42" s="604"/>
      <c r="Z42" s="604"/>
      <c r="AA42" s="604"/>
      <c r="AB42" s="604"/>
      <c r="AC42" s="604"/>
      <c r="AD42" s="604"/>
      <c r="AE42" s="604"/>
      <c r="AF42" s="604"/>
      <c r="AG42" s="605"/>
    </row>
    <row r="43" spans="2:33" ht="12.75" customHeight="1">
      <c r="B43" s="595"/>
      <c r="C43" s="596"/>
      <c r="D43" s="596"/>
      <c r="E43" s="596"/>
      <c r="F43" s="596"/>
      <c r="G43" s="596"/>
      <c r="H43" s="596"/>
      <c r="I43" s="596"/>
      <c r="J43" s="596"/>
      <c r="K43" s="596"/>
      <c r="L43" s="596"/>
      <c r="M43" s="596"/>
      <c r="N43" s="596"/>
      <c r="O43" s="596"/>
      <c r="P43" s="596"/>
      <c r="Q43" s="597"/>
      <c r="S43" s="603"/>
      <c r="T43" s="604"/>
      <c r="U43" s="604"/>
      <c r="V43" s="604"/>
      <c r="W43" s="604"/>
      <c r="X43" s="604"/>
      <c r="Y43" s="604"/>
      <c r="Z43" s="604"/>
      <c r="AA43" s="604"/>
      <c r="AB43" s="604"/>
      <c r="AC43" s="604"/>
      <c r="AD43" s="604"/>
      <c r="AE43" s="604"/>
      <c r="AF43" s="604"/>
      <c r="AG43" s="605"/>
    </row>
    <row r="44" spans="2:33" ht="12.75" customHeight="1">
      <c r="B44" s="595"/>
      <c r="C44" s="596"/>
      <c r="D44" s="596"/>
      <c r="E44" s="596"/>
      <c r="F44" s="596"/>
      <c r="G44" s="596"/>
      <c r="H44" s="596"/>
      <c r="I44" s="596"/>
      <c r="J44" s="596"/>
      <c r="K44" s="596"/>
      <c r="L44" s="596"/>
      <c r="M44" s="596"/>
      <c r="N44" s="596"/>
      <c r="O44" s="596"/>
      <c r="P44" s="596"/>
      <c r="Q44" s="597"/>
      <c r="S44" s="603"/>
      <c r="T44" s="604"/>
      <c r="U44" s="604"/>
      <c r="V44" s="604"/>
      <c r="W44" s="604"/>
      <c r="X44" s="604"/>
      <c r="Y44" s="604"/>
      <c r="Z44" s="604"/>
      <c r="AA44" s="604"/>
      <c r="AB44" s="604"/>
      <c r="AC44" s="604"/>
      <c r="AD44" s="604"/>
      <c r="AE44" s="604"/>
      <c r="AF44" s="604"/>
      <c r="AG44" s="605"/>
    </row>
    <row r="45" spans="2:33" ht="12.75" customHeight="1">
      <c r="B45" s="595"/>
      <c r="C45" s="596"/>
      <c r="D45" s="596"/>
      <c r="E45" s="596"/>
      <c r="F45" s="596"/>
      <c r="G45" s="596"/>
      <c r="H45" s="596"/>
      <c r="I45" s="596"/>
      <c r="J45" s="596"/>
      <c r="K45" s="596"/>
      <c r="L45" s="596"/>
      <c r="M45" s="596"/>
      <c r="N45" s="596"/>
      <c r="O45" s="596"/>
      <c r="P45" s="596"/>
      <c r="Q45" s="597"/>
      <c r="S45" s="603"/>
      <c r="T45" s="604"/>
      <c r="U45" s="604"/>
      <c r="V45" s="604"/>
      <c r="W45" s="604"/>
      <c r="X45" s="604"/>
      <c r="Y45" s="604"/>
      <c r="Z45" s="604"/>
      <c r="AA45" s="604"/>
      <c r="AB45" s="604"/>
      <c r="AC45" s="604"/>
      <c r="AD45" s="604"/>
      <c r="AE45" s="604"/>
      <c r="AF45" s="604"/>
      <c r="AG45" s="605"/>
    </row>
    <row r="46" spans="2:33" ht="12.75" customHeight="1">
      <c r="B46" s="595"/>
      <c r="C46" s="596"/>
      <c r="D46" s="596"/>
      <c r="E46" s="596"/>
      <c r="F46" s="596"/>
      <c r="G46" s="596"/>
      <c r="H46" s="596"/>
      <c r="I46" s="596"/>
      <c r="J46" s="596"/>
      <c r="K46" s="596"/>
      <c r="L46" s="596"/>
      <c r="M46" s="596"/>
      <c r="N46" s="596"/>
      <c r="O46" s="596"/>
      <c r="P46" s="596"/>
      <c r="Q46" s="597"/>
      <c r="S46" s="603"/>
      <c r="T46" s="604"/>
      <c r="U46" s="604"/>
      <c r="V46" s="604"/>
      <c r="W46" s="604"/>
      <c r="X46" s="604"/>
      <c r="Y46" s="604"/>
      <c r="Z46" s="604"/>
      <c r="AA46" s="604"/>
      <c r="AB46" s="604"/>
      <c r="AC46" s="604"/>
      <c r="AD46" s="604"/>
      <c r="AE46" s="604"/>
      <c r="AF46" s="604"/>
      <c r="AG46" s="605"/>
    </row>
    <row r="47" spans="2:33" ht="12.75" customHeight="1">
      <c r="B47" s="595"/>
      <c r="C47" s="596"/>
      <c r="D47" s="596"/>
      <c r="E47" s="596"/>
      <c r="F47" s="596"/>
      <c r="G47" s="596"/>
      <c r="H47" s="596"/>
      <c r="I47" s="596"/>
      <c r="J47" s="596"/>
      <c r="K47" s="596"/>
      <c r="L47" s="596"/>
      <c r="M47" s="596"/>
      <c r="N47" s="596"/>
      <c r="O47" s="596"/>
      <c r="P47" s="596"/>
      <c r="Q47" s="597"/>
      <c r="S47" s="603"/>
      <c r="T47" s="604"/>
      <c r="U47" s="604"/>
      <c r="V47" s="604"/>
      <c r="W47" s="604"/>
      <c r="X47" s="604"/>
      <c r="Y47" s="604"/>
      <c r="Z47" s="604"/>
      <c r="AA47" s="604"/>
      <c r="AB47" s="604"/>
      <c r="AC47" s="604"/>
      <c r="AD47" s="604"/>
      <c r="AE47" s="604"/>
      <c r="AF47" s="604"/>
      <c r="AG47" s="605"/>
    </row>
    <row r="48" spans="2:33" ht="12.75" customHeight="1">
      <c r="B48" s="595"/>
      <c r="C48" s="596"/>
      <c r="D48" s="596"/>
      <c r="E48" s="596"/>
      <c r="F48" s="596"/>
      <c r="G48" s="596"/>
      <c r="H48" s="596"/>
      <c r="I48" s="596"/>
      <c r="J48" s="596"/>
      <c r="K48" s="596"/>
      <c r="L48" s="596"/>
      <c r="M48" s="596"/>
      <c r="N48" s="596"/>
      <c r="O48" s="596"/>
      <c r="P48" s="596"/>
      <c r="Q48" s="597"/>
      <c r="S48" s="603"/>
      <c r="T48" s="604"/>
      <c r="U48" s="604"/>
      <c r="V48" s="604"/>
      <c r="W48" s="604"/>
      <c r="X48" s="604"/>
      <c r="Y48" s="604"/>
      <c r="Z48" s="604"/>
      <c r="AA48" s="604"/>
      <c r="AB48" s="604"/>
      <c r="AC48" s="604"/>
      <c r="AD48" s="604"/>
      <c r="AE48" s="604"/>
      <c r="AF48" s="604"/>
      <c r="AG48" s="605"/>
    </row>
    <row r="49" spans="2:33" ht="12.75" customHeight="1">
      <c r="B49" s="595"/>
      <c r="C49" s="596"/>
      <c r="D49" s="596"/>
      <c r="E49" s="596"/>
      <c r="F49" s="596"/>
      <c r="G49" s="596"/>
      <c r="H49" s="596"/>
      <c r="I49" s="596"/>
      <c r="J49" s="596"/>
      <c r="K49" s="596"/>
      <c r="L49" s="596"/>
      <c r="M49" s="596"/>
      <c r="N49" s="596"/>
      <c r="O49" s="596"/>
      <c r="P49" s="596"/>
      <c r="Q49" s="597"/>
      <c r="S49" s="603"/>
      <c r="T49" s="604"/>
      <c r="U49" s="604"/>
      <c r="V49" s="604"/>
      <c r="W49" s="604"/>
      <c r="X49" s="604"/>
      <c r="Y49" s="604"/>
      <c r="Z49" s="604"/>
      <c r="AA49" s="604"/>
      <c r="AB49" s="604"/>
      <c r="AC49" s="604"/>
      <c r="AD49" s="604"/>
      <c r="AE49" s="604"/>
      <c r="AF49" s="604"/>
      <c r="AG49" s="605"/>
    </row>
    <row r="50" spans="2:33" ht="12.75" customHeight="1">
      <c r="B50" s="595"/>
      <c r="C50" s="596"/>
      <c r="D50" s="596"/>
      <c r="E50" s="596"/>
      <c r="F50" s="596"/>
      <c r="G50" s="596"/>
      <c r="H50" s="596"/>
      <c r="I50" s="596"/>
      <c r="J50" s="596"/>
      <c r="K50" s="596"/>
      <c r="L50" s="596"/>
      <c r="M50" s="596"/>
      <c r="N50" s="596"/>
      <c r="O50" s="596"/>
      <c r="P50" s="596"/>
      <c r="Q50" s="597"/>
      <c r="S50" s="603"/>
      <c r="T50" s="604"/>
      <c r="U50" s="604"/>
      <c r="V50" s="604"/>
      <c r="W50" s="604"/>
      <c r="X50" s="604"/>
      <c r="Y50" s="604"/>
      <c r="Z50" s="604"/>
      <c r="AA50" s="604"/>
      <c r="AB50" s="604"/>
      <c r="AC50" s="604"/>
      <c r="AD50" s="604"/>
      <c r="AE50" s="604"/>
      <c r="AF50" s="604"/>
      <c r="AG50" s="605"/>
    </row>
    <row r="51" spans="2:33" ht="12.75" customHeight="1">
      <c r="B51" s="595"/>
      <c r="C51" s="596"/>
      <c r="D51" s="596"/>
      <c r="E51" s="596"/>
      <c r="F51" s="596"/>
      <c r="G51" s="596"/>
      <c r="H51" s="596"/>
      <c r="I51" s="596"/>
      <c r="J51" s="596"/>
      <c r="K51" s="596"/>
      <c r="L51" s="596"/>
      <c r="M51" s="596"/>
      <c r="N51" s="596"/>
      <c r="O51" s="596"/>
      <c r="P51" s="596"/>
      <c r="Q51" s="597"/>
      <c r="S51" s="603"/>
      <c r="T51" s="604"/>
      <c r="U51" s="604"/>
      <c r="V51" s="604"/>
      <c r="W51" s="604"/>
      <c r="X51" s="604"/>
      <c r="Y51" s="604"/>
      <c r="Z51" s="604"/>
      <c r="AA51" s="604"/>
      <c r="AB51" s="604"/>
      <c r="AC51" s="604"/>
      <c r="AD51" s="604"/>
      <c r="AE51" s="604"/>
      <c r="AF51" s="604"/>
      <c r="AG51" s="605"/>
    </row>
    <row r="52" spans="2:33" ht="12.75" customHeight="1">
      <c r="B52" s="595"/>
      <c r="C52" s="596"/>
      <c r="D52" s="596"/>
      <c r="E52" s="596"/>
      <c r="F52" s="596"/>
      <c r="G52" s="596"/>
      <c r="H52" s="596"/>
      <c r="I52" s="596"/>
      <c r="J52" s="596"/>
      <c r="K52" s="596"/>
      <c r="L52" s="596"/>
      <c r="M52" s="596"/>
      <c r="N52" s="596"/>
      <c r="O52" s="596"/>
      <c r="P52" s="596"/>
      <c r="Q52" s="597"/>
      <c r="S52" s="603"/>
      <c r="T52" s="604"/>
      <c r="U52" s="604"/>
      <c r="V52" s="604"/>
      <c r="W52" s="604"/>
      <c r="X52" s="604"/>
      <c r="Y52" s="604"/>
      <c r="Z52" s="604"/>
      <c r="AA52" s="604"/>
      <c r="AB52" s="604"/>
      <c r="AC52" s="604"/>
      <c r="AD52" s="604"/>
      <c r="AE52" s="604"/>
      <c r="AF52" s="604"/>
      <c r="AG52" s="605"/>
    </row>
    <row r="53" spans="2:33" ht="12.75" customHeight="1">
      <c r="B53" s="595"/>
      <c r="C53" s="596"/>
      <c r="D53" s="596"/>
      <c r="E53" s="596"/>
      <c r="F53" s="596"/>
      <c r="G53" s="596"/>
      <c r="H53" s="596"/>
      <c r="I53" s="596"/>
      <c r="J53" s="596"/>
      <c r="K53" s="596"/>
      <c r="L53" s="596"/>
      <c r="M53" s="596"/>
      <c r="N53" s="596"/>
      <c r="O53" s="596"/>
      <c r="P53" s="596"/>
      <c r="Q53" s="597"/>
      <c r="S53" s="603"/>
      <c r="T53" s="604"/>
      <c r="U53" s="604"/>
      <c r="V53" s="604"/>
      <c r="W53" s="604"/>
      <c r="X53" s="604"/>
      <c r="Y53" s="604"/>
      <c r="Z53" s="604"/>
      <c r="AA53" s="604"/>
      <c r="AB53" s="604"/>
      <c r="AC53" s="604"/>
      <c r="AD53" s="604"/>
      <c r="AE53" s="604"/>
      <c r="AF53" s="604"/>
      <c r="AG53" s="605"/>
    </row>
    <row r="54" spans="2:33" ht="12.75" customHeight="1">
      <c r="B54" s="595"/>
      <c r="C54" s="596"/>
      <c r="D54" s="596"/>
      <c r="E54" s="596"/>
      <c r="F54" s="596"/>
      <c r="G54" s="596"/>
      <c r="H54" s="596"/>
      <c r="I54" s="596"/>
      <c r="J54" s="596"/>
      <c r="K54" s="596"/>
      <c r="L54" s="596"/>
      <c r="M54" s="596"/>
      <c r="N54" s="596"/>
      <c r="O54" s="596"/>
      <c r="P54" s="596"/>
      <c r="Q54" s="597"/>
      <c r="S54" s="603"/>
      <c r="T54" s="604"/>
      <c r="U54" s="604"/>
      <c r="V54" s="604"/>
      <c r="W54" s="604"/>
      <c r="X54" s="604"/>
      <c r="Y54" s="604"/>
      <c r="Z54" s="604"/>
      <c r="AA54" s="604"/>
      <c r="AB54" s="604"/>
      <c r="AC54" s="604"/>
      <c r="AD54" s="604"/>
      <c r="AE54" s="604"/>
      <c r="AF54" s="604"/>
      <c r="AG54" s="605"/>
    </row>
    <row r="55" spans="2:33" ht="12.75" customHeight="1">
      <c r="B55" s="595"/>
      <c r="C55" s="596"/>
      <c r="D55" s="596"/>
      <c r="E55" s="596"/>
      <c r="F55" s="596"/>
      <c r="G55" s="596"/>
      <c r="H55" s="596"/>
      <c r="I55" s="596"/>
      <c r="J55" s="596"/>
      <c r="K55" s="596"/>
      <c r="L55" s="596"/>
      <c r="M55" s="596"/>
      <c r="N55" s="596"/>
      <c r="O55" s="596"/>
      <c r="P55" s="596"/>
      <c r="Q55" s="597"/>
      <c r="S55" s="603"/>
      <c r="T55" s="604"/>
      <c r="U55" s="604"/>
      <c r="V55" s="604"/>
      <c r="W55" s="604"/>
      <c r="X55" s="604"/>
      <c r="Y55" s="604"/>
      <c r="Z55" s="604"/>
      <c r="AA55" s="604"/>
      <c r="AB55" s="604"/>
      <c r="AC55" s="604"/>
      <c r="AD55" s="604"/>
      <c r="AE55" s="604"/>
      <c r="AF55" s="604"/>
      <c r="AG55" s="605"/>
    </row>
    <row r="56" spans="2:33" ht="12.75" customHeight="1">
      <c r="B56" s="595"/>
      <c r="C56" s="596"/>
      <c r="D56" s="596"/>
      <c r="E56" s="596"/>
      <c r="F56" s="596"/>
      <c r="G56" s="596"/>
      <c r="H56" s="596"/>
      <c r="I56" s="596"/>
      <c r="J56" s="596"/>
      <c r="K56" s="596"/>
      <c r="L56" s="596"/>
      <c r="M56" s="596"/>
      <c r="N56" s="596"/>
      <c r="O56" s="596"/>
      <c r="P56" s="596"/>
      <c r="Q56" s="597"/>
      <c r="S56" s="603"/>
      <c r="T56" s="604"/>
      <c r="U56" s="604"/>
      <c r="V56" s="604"/>
      <c r="W56" s="604"/>
      <c r="X56" s="604"/>
      <c r="Y56" s="604"/>
      <c r="Z56" s="604"/>
      <c r="AA56" s="604"/>
      <c r="AB56" s="604"/>
      <c r="AC56" s="604"/>
      <c r="AD56" s="604"/>
      <c r="AE56" s="604"/>
      <c r="AF56" s="604"/>
      <c r="AG56" s="605"/>
    </row>
    <row r="57" spans="2:33" ht="12.75" customHeight="1">
      <c r="B57" s="595"/>
      <c r="C57" s="596"/>
      <c r="D57" s="596"/>
      <c r="E57" s="596"/>
      <c r="F57" s="596"/>
      <c r="G57" s="596"/>
      <c r="H57" s="596"/>
      <c r="I57" s="596"/>
      <c r="J57" s="596"/>
      <c r="K57" s="596"/>
      <c r="L57" s="596"/>
      <c r="M57" s="596"/>
      <c r="N57" s="596"/>
      <c r="O57" s="596"/>
      <c r="P57" s="596"/>
      <c r="Q57" s="597"/>
      <c r="S57" s="603"/>
      <c r="T57" s="604"/>
      <c r="U57" s="604"/>
      <c r="V57" s="604"/>
      <c r="W57" s="604"/>
      <c r="X57" s="604"/>
      <c r="Y57" s="604"/>
      <c r="Z57" s="604"/>
      <c r="AA57" s="604"/>
      <c r="AB57" s="604"/>
      <c r="AC57" s="604"/>
      <c r="AD57" s="604"/>
      <c r="AE57" s="604"/>
      <c r="AF57" s="604"/>
      <c r="AG57" s="605"/>
    </row>
    <row r="58" spans="2:33" ht="12.75" customHeight="1">
      <c r="B58" s="595"/>
      <c r="C58" s="596"/>
      <c r="D58" s="596"/>
      <c r="E58" s="596"/>
      <c r="F58" s="596"/>
      <c r="G58" s="596"/>
      <c r="H58" s="596"/>
      <c r="I58" s="596"/>
      <c r="J58" s="596"/>
      <c r="K58" s="596"/>
      <c r="L58" s="596"/>
      <c r="M58" s="596"/>
      <c r="N58" s="596"/>
      <c r="O58" s="596"/>
      <c r="P58" s="596"/>
      <c r="Q58" s="597"/>
      <c r="S58" s="603"/>
      <c r="T58" s="604"/>
      <c r="U58" s="604"/>
      <c r="V58" s="604"/>
      <c r="W58" s="604"/>
      <c r="X58" s="604"/>
      <c r="Y58" s="604"/>
      <c r="Z58" s="604"/>
      <c r="AA58" s="604"/>
      <c r="AB58" s="604"/>
      <c r="AC58" s="604"/>
      <c r="AD58" s="604"/>
      <c r="AE58" s="604"/>
      <c r="AF58" s="604"/>
      <c r="AG58" s="605"/>
    </row>
    <row r="59" spans="2:33" ht="12.75" customHeight="1">
      <c r="B59" s="595"/>
      <c r="C59" s="596"/>
      <c r="D59" s="596"/>
      <c r="E59" s="596"/>
      <c r="F59" s="596"/>
      <c r="G59" s="596"/>
      <c r="H59" s="596"/>
      <c r="I59" s="596"/>
      <c r="J59" s="596"/>
      <c r="K59" s="596"/>
      <c r="L59" s="596"/>
      <c r="M59" s="596"/>
      <c r="N59" s="596"/>
      <c r="O59" s="596"/>
      <c r="P59" s="596"/>
      <c r="Q59" s="597"/>
      <c r="S59" s="603"/>
      <c r="T59" s="604"/>
      <c r="U59" s="604"/>
      <c r="V59" s="604"/>
      <c r="W59" s="604"/>
      <c r="X59" s="604"/>
      <c r="Y59" s="604"/>
      <c r="Z59" s="604"/>
      <c r="AA59" s="604"/>
      <c r="AB59" s="604"/>
      <c r="AC59" s="604"/>
      <c r="AD59" s="604"/>
      <c r="AE59" s="604"/>
      <c r="AF59" s="604"/>
      <c r="AG59" s="605"/>
    </row>
    <row r="60" spans="2:33" ht="12.75" customHeight="1">
      <c r="B60" s="595"/>
      <c r="C60" s="596"/>
      <c r="D60" s="596"/>
      <c r="E60" s="596"/>
      <c r="F60" s="596"/>
      <c r="G60" s="596"/>
      <c r="H60" s="596"/>
      <c r="I60" s="596"/>
      <c r="J60" s="596"/>
      <c r="K60" s="596"/>
      <c r="L60" s="596"/>
      <c r="M60" s="596"/>
      <c r="N60" s="596"/>
      <c r="O60" s="596"/>
      <c r="P60" s="596"/>
      <c r="Q60" s="597"/>
      <c r="S60" s="603"/>
      <c r="T60" s="604"/>
      <c r="U60" s="604"/>
      <c r="V60" s="604"/>
      <c r="W60" s="604"/>
      <c r="X60" s="604"/>
      <c r="Y60" s="604"/>
      <c r="Z60" s="604"/>
      <c r="AA60" s="604"/>
      <c r="AB60" s="604"/>
      <c r="AC60" s="604"/>
      <c r="AD60" s="604"/>
      <c r="AE60" s="604"/>
      <c r="AF60" s="604"/>
      <c r="AG60" s="605"/>
    </row>
    <row r="61" spans="2:33" ht="12.75" customHeight="1">
      <c r="B61" s="595"/>
      <c r="C61" s="596"/>
      <c r="D61" s="596"/>
      <c r="E61" s="596"/>
      <c r="F61" s="596"/>
      <c r="G61" s="596"/>
      <c r="H61" s="596"/>
      <c r="I61" s="596"/>
      <c r="J61" s="596"/>
      <c r="K61" s="596"/>
      <c r="L61" s="596"/>
      <c r="M61" s="596"/>
      <c r="N61" s="596"/>
      <c r="O61" s="596"/>
      <c r="P61" s="596"/>
      <c r="Q61" s="597"/>
      <c r="S61" s="603"/>
      <c r="T61" s="604"/>
      <c r="U61" s="604"/>
      <c r="V61" s="604"/>
      <c r="W61" s="604"/>
      <c r="X61" s="604"/>
      <c r="Y61" s="604"/>
      <c r="Z61" s="604"/>
      <c r="AA61" s="604"/>
      <c r="AB61" s="604"/>
      <c r="AC61" s="604"/>
      <c r="AD61" s="604"/>
      <c r="AE61" s="604"/>
      <c r="AF61" s="604"/>
      <c r="AG61" s="605"/>
    </row>
    <row r="62" spans="2:33" ht="12.75" customHeight="1">
      <c r="B62" s="595"/>
      <c r="C62" s="596"/>
      <c r="D62" s="596"/>
      <c r="E62" s="596"/>
      <c r="F62" s="596"/>
      <c r="G62" s="596"/>
      <c r="H62" s="596"/>
      <c r="I62" s="596"/>
      <c r="J62" s="596"/>
      <c r="K62" s="596"/>
      <c r="L62" s="596"/>
      <c r="M62" s="596"/>
      <c r="N62" s="596"/>
      <c r="O62" s="596"/>
      <c r="P62" s="596"/>
      <c r="Q62" s="597"/>
      <c r="S62" s="603"/>
      <c r="T62" s="604"/>
      <c r="U62" s="604"/>
      <c r="V62" s="604"/>
      <c r="W62" s="604"/>
      <c r="X62" s="604"/>
      <c r="Y62" s="604"/>
      <c r="Z62" s="604"/>
      <c r="AA62" s="604"/>
      <c r="AB62" s="604"/>
      <c r="AC62" s="604"/>
      <c r="AD62" s="604"/>
      <c r="AE62" s="604"/>
      <c r="AF62" s="604"/>
      <c r="AG62" s="605"/>
    </row>
    <row r="63" spans="2:33" ht="12.75" customHeight="1">
      <c r="B63" s="595"/>
      <c r="C63" s="596"/>
      <c r="D63" s="596"/>
      <c r="E63" s="596"/>
      <c r="F63" s="596"/>
      <c r="G63" s="596"/>
      <c r="H63" s="596"/>
      <c r="I63" s="596"/>
      <c r="J63" s="596"/>
      <c r="K63" s="596"/>
      <c r="L63" s="596"/>
      <c r="M63" s="596"/>
      <c r="N63" s="596"/>
      <c r="O63" s="596"/>
      <c r="P63" s="596"/>
      <c r="Q63" s="597"/>
      <c r="S63" s="603"/>
      <c r="T63" s="604"/>
      <c r="U63" s="604"/>
      <c r="V63" s="604"/>
      <c r="W63" s="604"/>
      <c r="X63" s="604"/>
      <c r="Y63" s="604"/>
      <c r="Z63" s="604"/>
      <c r="AA63" s="604"/>
      <c r="AB63" s="604"/>
      <c r="AC63" s="604"/>
      <c r="AD63" s="604"/>
      <c r="AE63" s="604"/>
      <c r="AF63" s="604"/>
      <c r="AG63" s="605"/>
    </row>
    <row r="64" spans="2:33" ht="12.75" customHeight="1">
      <c r="B64" s="595"/>
      <c r="C64" s="596"/>
      <c r="D64" s="596"/>
      <c r="E64" s="596"/>
      <c r="F64" s="596"/>
      <c r="G64" s="596"/>
      <c r="H64" s="596"/>
      <c r="I64" s="596"/>
      <c r="J64" s="596"/>
      <c r="K64" s="596"/>
      <c r="L64" s="596"/>
      <c r="M64" s="596"/>
      <c r="N64" s="596"/>
      <c r="O64" s="596"/>
      <c r="P64" s="596"/>
      <c r="Q64" s="597"/>
      <c r="S64" s="603"/>
      <c r="T64" s="604"/>
      <c r="U64" s="604"/>
      <c r="V64" s="604"/>
      <c r="W64" s="604"/>
      <c r="X64" s="604"/>
      <c r="Y64" s="604"/>
      <c r="Z64" s="604"/>
      <c r="AA64" s="604"/>
      <c r="AB64" s="604"/>
      <c r="AC64" s="604"/>
      <c r="AD64" s="604"/>
      <c r="AE64" s="604"/>
      <c r="AF64" s="604"/>
      <c r="AG64" s="605"/>
    </row>
    <row r="65" spans="2:34" ht="12.75" customHeight="1">
      <c r="B65" s="595"/>
      <c r="C65" s="596"/>
      <c r="D65" s="596"/>
      <c r="E65" s="596"/>
      <c r="F65" s="596"/>
      <c r="G65" s="596"/>
      <c r="H65" s="596"/>
      <c r="I65" s="596"/>
      <c r="J65" s="596"/>
      <c r="K65" s="596"/>
      <c r="L65" s="596"/>
      <c r="M65" s="596"/>
      <c r="N65" s="596"/>
      <c r="O65" s="596"/>
      <c r="P65" s="596"/>
      <c r="Q65" s="597"/>
      <c r="S65" s="603"/>
      <c r="T65" s="604"/>
      <c r="U65" s="604"/>
      <c r="V65" s="604"/>
      <c r="W65" s="604"/>
      <c r="X65" s="604"/>
      <c r="Y65" s="604"/>
      <c r="Z65" s="604"/>
      <c r="AA65" s="604"/>
      <c r="AB65" s="604"/>
      <c r="AC65" s="604"/>
      <c r="AD65" s="604"/>
      <c r="AE65" s="604"/>
      <c r="AF65" s="604"/>
      <c r="AG65" s="605"/>
    </row>
    <row r="66" spans="2:34" ht="13.5" customHeight="1" thickBot="1">
      <c r="B66" s="598"/>
      <c r="C66" s="599"/>
      <c r="D66" s="599"/>
      <c r="E66" s="599"/>
      <c r="F66" s="599"/>
      <c r="G66" s="599"/>
      <c r="H66" s="599"/>
      <c r="I66" s="599"/>
      <c r="J66" s="599"/>
      <c r="K66" s="599"/>
      <c r="L66" s="599"/>
      <c r="M66" s="599"/>
      <c r="N66" s="599"/>
      <c r="O66" s="599"/>
      <c r="P66" s="599"/>
      <c r="Q66" s="600"/>
      <c r="S66" s="606"/>
      <c r="T66" s="607"/>
      <c r="U66" s="607"/>
      <c r="V66" s="607"/>
      <c r="W66" s="607"/>
      <c r="X66" s="607"/>
      <c r="Y66" s="607"/>
      <c r="Z66" s="607"/>
      <c r="AA66" s="607"/>
      <c r="AB66" s="607"/>
      <c r="AC66" s="607"/>
      <c r="AD66" s="607"/>
      <c r="AE66" s="607"/>
      <c r="AF66" s="607"/>
      <c r="AG66" s="608"/>
    </row>
    <row r="67" spans="2:34" ht="13.5" thickBot="1"/>
    <row r="68" spans="2:34" ht="12.75" customHeight="1">
      <c r="B68" s="571" t="s">
        <v>395</v>
      </c>
      <c r="C68" s="572"/>
      <c r="D68" s="572"/>
      <c r="E68" s="572"/>
      <c r="F68" s="572"/>
      <c r="G68" s="572"/>
      <c r="H68" s="572"/>
      <c r="I68" s="572"/>
      <c r="J68" s="572"/>
      <c r="K68" s="572"/>
      <c r="L68" s="572"/>
      <c r="M68" s="572"/>
      <c r="N68" s="572"/>
      <c r="O68" s="572"/>
      <c r="P68" s="572"/>
      <c r="Q68" s="572"/>
      <c r="R68" s="572"/>
      <c r="S68" s="572"/>
      <c r="T68" s="572"/>
      <c r="U68" s="572"/>
      <c r="V68" s="572"/>
      <c r="W68" s="572"/>
      <c r="X68" s="572"/>
      <c r="Y68" s="572"/>
      <c r="Z68" s="572"/>
      <c r="AA68" s="572"/>
      <c r="AB68" s="572"/>
      <c r="AC68" s="572"/>
      <c r="AD68" s="572"/>
      <c r="AE68" s="572"/>
      <c r="AF68" s="572"/>
      <c r="AG68" s="573"/>
    </row>
    <row r="69" spans="2:34" ht="13.5" customHeight="1" thickBot="1">
      <c r="B69" s="574"/>
      <c r="C69" s="575"/>
      <c r="D69" s="575"/>
      <c r="E69" s="575"/>
      <c r="F69" s="575"/>
      <c r="G69" s="575"/>
      <c r="H69" s="575"/>
      <c r="I69" s="575"/>
      <c r="J69" s="575"/>
      <c r="K69" s="575"/>
      <c r="L69" s="575"/>
      <c r="M69" s="575"/>
      <c r="N69" s="575"/>
      <c r="O69" s="575"/>
      <c r="P69" s="575"/>
      <c r="Q69" s="575"/>
      <c r="R69" s="575"/>
      <c r="S69" s="575"/>
      <c r="T69" s="575"/>
      <c r="U69" s="575"/>
      <c r="V69" s="575"/>
      <c r="W69" s="575"/>
      <c r="X69" s="575"/>
      <c r="Y69" s="575"/>
      <c r="Z69" s="575"/>
      <c r="AA69" s="575"/>
      <c r="AB69" s="575"/>
      <c r="AC69" s="575"/>
      <c r="AD69" s="575"/>
      <c r="AE69" s="575"/>
      <c r="AF69" s="575"/>
      <c r="AG69" s="576"/>
    </row>
    <row r="70" spans="2:34" ht="21.75" thickBot="1">
      <c r="S70" s="16"/>
      <c r="T70" s="16"/>
      <c r="U70" s="16"/>
      <c r="V70" s="16"/>
      <c r="W70" s="16"/>
      <c r="X70" s="16"/>
      <c r="Y70" s="16"/>
      <c r="Z70" s="16"/>
      <c r="AA70" s="16"/>
      <c r="AB70" s="286"/>
      <c r="AC70" s="286"/>
      <c r="AD70" s="286"/>
      <c r="AE70" s="286"/>
      <c r="AF70" s="286"/>
      <c r="AG70" s="286"/>
      <c r="AH70" s="286"/>
    </row>
    <row r="71" spans="2:34" ht="12.75" customHeight="1">
      <c r="B71" s="508" t="s">
        <v>396</v>
      </c>
      <c r="C71" s="509"/>
      <c r="D71" s="509"/>
      <c r="E71" s="509"/>
      <c r="F71" s="509"/>
      <c r="G71" s="509"/>
      <c r="H71" s="509"/>
      <c r="I71" s="509"/>
      <c r="J71" s="509"/>
      <c r="K71" s="509"/>
      <c r="L71" s="509"/>
      <c r="M71" s="509"/>
      <c r="N71" s="509"/>
      <c r="O71" s="509"/>
      <c r="P71" s="509"/>
      <c r="Q71" s="510"/>
      <c r="S71" s="508" t="s">
        <v>547</v>
      </c>
      <c r="T71" s="509"/>
      <c r="U71" s="509"/>
      <c r="V71" s="509"/>
      <c r="W71" s="509"/>
      <c r="X71" s="509"/>
      <c r="Y71" s="509"/>
      <c r="Z71" s="509"/>
      <c r="AA71" s="509"/>
      <c r="AB71" s="509"/>
      <c r="AC71" s="509"/>
      <c r="AD71" s="509"/>
      <c r="AE71" s="509"/>
      <c r="AF71" s="509"/>
      <c r="AG71" s="509"/>
      <c r="AH71" s="510"/>
    </row>
    <row r="72" spans="2:34" ht="12.75" customHeight="1">
      <c r="B72" s="511"/>
      <c r="C72" s="512"/>
      <c r="D72" s="512"/>
      <c r="E72" s="512"/>
      <c r="F72" s="512"/>
      <c r="G72" s="512"/>
      <c r="H72" s="512"/>
      <c r="I72" s="512"/>
      <c r="J72" s="512"/>
      <c r="K72" s="512"/>
      <c r="L72" s="512"/>
      <c r="M72" s="512"/>
      <c r="N72" s="512"/>
      <c r="O72" s="512"/>
      <c r="P72" s="512"/>
      <c r="Q72" s="513"/>
      <c r="S72" s="511"/>
      <c r="T72" s="512"/>
      <c r="U72" s="512"/>
      <c r="V72" s="512"/>
      <c r="W72" s="512"/>
      <c r="X72" s="512"/>
      <c r="Y72" s="512"/>
      <c r="Z72" s="512"/>
      <c r="AA72" s="512"/>
      <c r="AB72" s="512"/>
      <c r="AC72" s="512"/>
      <c r="AD72" s="512"/>
      <c r="AE72" s="512"/>
      <c r="AF72" s="512"/>
      <c r="AG72" s="512"/>
      <c r="AH72" s="513"/>
    </row>
    <row r="73" spans="2:34" ht="12.75" customHeight="1">
      <c r="B73" s="511"/>
      <c r="C73" s="512"/>
      <c r="D73" s="512"/>
      <c r="E73" s="512"/>
      <c r="F73" s="512"/>
      <c r="G73" s="512"/>
      <c r="H73" s="512"/>
      <c r="I73" s="512"/>
      <c r="J73" s="512"/>
      <c r="K73" s="512"/>
      <c r="L73" s="512"/>
      <c r="M73" s="512"/>
      <c r="N73" s="512"/>
      <c r="O73" s="512"/>
      <c r="P73" s="512"/>
      <c r="Q73" s="513"/>
      <c r="S73" s="511"/>
      <c r="T73" s="512"/>
      <c r="U73" s="512"/>
      <c r="V73" s="512"/>
      <c r="W73" s="512"/>
      <c r="X73" s="512"/>
      <c r="Y73" s="512"/>
      <c r="Z73" s="512"/>
      <c r="AA73" s="512"/>
      <c r="AB73" s="512"/>
      <c r="AC73" s="512"/>
      <c r="AD73" s="512"/>
      <c r="AE73" s="512"/>
      <c r="AF73" s="512"/>
      <c r="AG73" s="512"/>
      <c r="AH73" s="513"/>
    </row>
    <row r="74" spans="2:34" ht="12.75" customHeight="1">
      <c r="B74" s="511"/>
      <c r="C74" s="512"/>
      <c r="D74" s="512"/>
      <c r="E74" s="512"/>
      <c r="F74" s="512"/>
      <c r="G74" s="512"/>
      <c r="H74" s="512"/>
      <c r="I74" s="512"/>
      <c r="J74" s="512"/>
      <c r="K74" s="512"/>
      <c r="L74" s="512"/>
      <c r="M74" s="512"/>
      <c r="N74" s="512"/>
      <c r="O74" s="512"/>
      <c r="P74" s="512"/>
      <c r="Q74" s="513"/>
      <c r="S74" s="511"/>
      <c r="T74" s="512"/>
      <c r="U74" s="512"/>
      <c r="V74" s="512"/>
      <c r="W74" s="512"/>
      <c r="X74" s="512"/>
      <c r="Y74" s="512"/>
      <c r="Z74" s="512"/>
      <c r="AA74" s="512"/>
      <c r="AB74" s="512"/>
      <c r="AC74" s="512"/>
      <c r="AD74" s="512"/>
      <c r="AE74" s="512"/>
      <c r="AF74" s="512"/>
      <c r="AG74" s="512"/>
      <c r="AH74" s="513"/>
    </row>
    <row r="75" spans="2:34" ht="12.75" customHeight="1">
      <c r="B75" s="511"/>
      <c r="C75" s="512"/>
      <c r="D75" s="512"/>
      <c r="E75" s="512"/>
      <c r="F75" s="512"/>
      <c r="G75" s="512"/>
      <c r="H75" s="512"/>
      <c r="I75" s="512"/>
      <c r="J75" s="512"/>
      <c r="K75" s="512"/>
      <c r="L75" s="512"/>
      <c r="M75" s="512"/>
      <c r="N75" s="512"/>
      <c r="O75" s="512"/>
      <c r="P75" s="512"/>
      <c r="Q75" s="513"/>
      <c r="S75" s="511"/>
      <c r="T75" s="512"/>
      <c r="U75" s="512"/>
      <c r="V75" s="512"/>
      <c r="W75" s="512"/>
      <c r="X75" s="512"/>
      <c r="Y75" s="512"/>
      <c r="Z75" s="512"/>
      <c r="AA75" s="512"/>
      <c r="AB75" s="512"/>
      <c r="AC75" s="512"/>
      <c r="AD75" s="512"/>
      <c r="AE75" s="512"/>
      <c r="AF75" s="512"/>
      <c r="AG75" s="512"/>
      <c r="AH75" s="513"/>
    </row>
    <row r="76" spans="2:34" ht="12.75" customHeight="1">
      <c r="B76" s="511"/>
      <c r="C76" s="512"/>
      <c r="D76" s="512"/>
      <c r="E76" s="512"/>
      <c r="F76" s="512"/>
      <c r="G76" s="512"/>
      <c r="H76" s="512"/>
      <c r="I76" s="512"/>
      <c r="J76" s="512"/>
      <c r="K76" s="512"/>
      <c r="L76" s="512"/>
      <c r="M76" s="512"/>
      <c r="N76" s="512"/>
      <c r="O76" s="512"/>
      <c r="P76" s="512"/>
      <c r="Q76" s="513"/>
      <c r="S76" s="511"/>
      <c r="T76" s="512"/>
      <c r="U76" s="512"/>
      <c r="V76" s="512"/>
      <c r="W76" s="512"/>
      <c r="X76" s="512"/>
      <c r="Y76" s="512"/>
      <c r="Z76" s="512"/>
      <c r="AA76" s="512"/>
      <c r="AB76" s="512"/>
      <c r="AC76" s="512"/>
      <c r="AD76" s="512"/>
      <c r="AE76" s="512"/>
      <c r="AF76" s="512"/>
      <c r="AG76" s="512"/>
      <c r="AH76" s="513"/>
    </row>
    <row r="77" spans="2:34" ht="12.75" customHeight="1">
      <c r="B77" s="511"/>
      <c r="C77" s="512"/>
      <c r="D77" s="512"/>
      <c r="E77" s="512"/>
      <c r="F77" s="512"/>
      <c r="G77" s="512"/>
      <c r="H77" s="512"/>
      <c r="I77" s="512"/>
      <c r="J77" s="512"/>
      <c r="K77" s="512"/>
      <c r="L77" s="512"/>
      <c r="M77" s="512"/>
      <c r="N77" s="512"/>
      <c r="O77" s="512"/>
      <c r="P77" s="512"/>
      <c r="Q77" s="513"/>
      <c r="S77" s="511"/>
      <c r="T77" s="512"/>
      <c r="U77" s="512"/>
      <c r="V77" s="512"/>
      <c r="W77" s="512"/>
      <c r="X77" s="512"/>
      <c r="Y77" s="512"/>
      <c r="Z77" s="512"/>
      <c r="AA77" s="512"/>
      <c r="AB77" s="512"/>
      <c r="AC77" s="512"/>
      <c r="AD77" s="512"/>
      <c r="AE77" s="512"/>
      <c r="AF77" s="512"/>
      <c r="AG77" s="512"/>
      <c r="AH77" s="513"/>
    </row>
    <row r="78" spans="2:34" ht="12.75" customHeight="1">
      <c r="B78" s="511"/>
      <c r="C78" s="512"/>
      <c r="D78" s="512"/>
      <c r="E78" s="512"/>
      <c r="F78" s="512"/>
      <c r="G78" s="512"/>
      <c r="H78" s="512"/>
      <c r="I78" s="512"/>
      <c r="J78" s="512"/>
      <c r="K78" s="512"/>
      <c r="L78" s="512"/>
      <c r="M78" s="512"/>
      <c r="N78" s="512"/>
      <c r="O78" s="512"/>
      <c r="P78" s="512"/>
      <c r="Q78" s="513"/>
      <c r="S78" s="511"/>
      <c r="T78" s="512"/>
      <c r="U78" s="512"/>
      <c r="V78" s="512"/>
      <c r="W78" s="512"/>
      <c r="X78" s="512"/>
      <c r="Y78" s="512"/>
      <c r="Z78" s="512"/>
      <c r="AA78" s="512"/>
      <c r="AB78" s="512"/>
      <c r="AC78" s="512"/>
      <c r="AD78" s="512"/>
      <c r="AE78" s="512"/>
      <c r="AF78" s="512"/>
      <c r="AG78" s="512"/>
      <c r="AH78" s="513"/>
    </row>
    <row r="79" spans="2:34" ht="12.75" customHeight="1">
      <c r="B79" s="511"/>
      <c r="C79" s="512"/>
      <c r="D79" s="512"/>
      <c r="E79" s="512"/>
      <c r="F79" s="512"/>
      <c r="G79" s="512"/>
      <c r="H79" s="512"/>
      <c r="I79" s="512"/>
      <c r="J79" s="512"/>
      <c r="K79" s="512"/>
      <c r="L79" s="512"/>
      <c r="M79" s="512"/>
      <c r="N79" s="512"/>
      <c r="O79" s="512"/>
      <c r="P79" s="512"/>
      <c r="Q79" s="513"/>
      <c r="S79" s="511"/>
      <c r="T79" s="512"/>
      <c r="U79" s="512"/>
      <c r="V79" s="512"/>
      <c r="W79" s="512"/>
      <c r="X79" s="512"/>
      <c r="Y79" s="512"/>
      <c r="Z79" s="512"/>
      <c r="AA79" s="512"/>
      <c r="AB79" s="512"/>
      <c r="AC79" s="512"/>
      <c r="AD79" s="512"/>
      <c r="AE79" s="512"/>
      <c r="AF79" s="512"/>
      <c r="AG79" s="512"/>
      <c r="AH79" s="513"/>
    </row>
    <row r="80" spans="2:34" ht="12.75" customHeight="1">
      <c r="B80" s="511"/>
      <c r="C80" s="512"/>
      <c r="D80" s="512"/>
      <c r="E80" s="512"/>
      <c r="F80" s="512"/>
      <c r="G80" s="512"/>
      <c r="H80" s="512"/>
      <c r="I80" s="512"/>
      <c r="J80" s="512"/>
      <c r="K80" s="512"/>
      <c r="L80" s="512"/>
      <c r="M80" s="512"/>
      <c r="N80" s="512"/>
      <c r="O80" s="512"/>
      <c r="P80" s="512"/>
      <c r="Q80" s="513"/>
      <c r="S80" s="511"/>
      <c r="T80" s="512"/>
      <c r="U80" s="512"/>
      <c r="V80" s="512"/>
      <c r="W80" s="512"/>
      <c r="X80" s="512"/>
      <c r="Y80" s="512"/>
      <c r="Z80" s="512"/>
      <c r="AA80" s="512"/>
      <c r="AB80" s="512"/>
      <c r="AC80" s="512"/>
      <c r="AD80" s="512"/>
      <c r="AE80" s="512"/>
      <c r="AF80" s="512"/>
      <c r="AG80" s="512"/>
      <c r="AH80" s="513"/>
    </row>
    <row r="81" spans="2:34" ht="12.75" customHeight="1">
      <c r="B81" s="511"/>
      <c r="C81" s="512"/>
      <c r="D81" s="512"/>
      <c r="E81" s="512"/>
      <c r="F81" s="512"/>
      <c r="G81" s="512"/>
      <c r="H81" s="512"/>
      <c r="I81" s="512"/>
      <c r="J81" s="512"/>
      <c r="K81" s="512"/>
      <c r="L81" s="512"/>
      <c r="M81" s="512"/>
      <c r="N81" s="512"/>
      <c r="O81" s="512"/>
      <c r="P81" s="512"/>
      <c r="Q81" s="513"/>
      <c r="S81" s="511"/>
      <c r="T81" s="512"/>
      <c r="U81" s="512"/>
      <c r="V81" s="512"/>
      <c r="W81" s="512"/>
      <c r="X81" s="512"/>
      <c r="Y81" s="512"/>
      <c r="Z81" s="512"/>
      <c r="AA81" s="512"/>
      <c r="AB81" s="512"/>
      <c r="AC81" s="512"/>
      <c r="AD81" s="512"/>
      <c r="AE81" s="512"/>
      <c r="AF81" s="512"/>
      <c r="AG81" s="512"/>
      <c r="AH81" s="513"/>
    </row>
    <row r="82" spans="2:34" ht="12.75" customHeight="1">
      <c r="B82" s="511"/>
      <c r="C82" s="512"/>
      <c r="D82" s="512"/>
      <c r="E82" s="512"/>
      <c r="F82" s="512"/>
      <c r="G82" s="512"/>
      <c r="H82" s="512"/>
      <c r="I82" s="512"/>
      <c r="J82" s="512"/>
      <c r="K82" s="512"/>
      <c r="L82" s="512"/>
      <c r="M82" s="512"/>
      <c r="N82" s="512"/>
      <c r="O82" s="512"/>
      <c r="P82" s="512"/>
      <c r="Q82" s="513"/>
      <c r="S82" s="511"/>
      <c r="T82" s="512"/>
      <c r="U82" s="512"/>
      <c r="V82" s="512"/>
      <c r="W82" s="512"/>
      <c r="X82" s="512"/>
      <c r="Y82" s="512"/>
      <c r="Z82" s="512"/>
      <c r="AA82" s="512"/>
      <c r="AB82" s="512"/>
      <c r="AC82" s="512"/>
      <c r="AD82" s="512"/>
      <c r="AE82" s="512"/>
      <c r="AF82" s="512"/>
      <c r="AG82" s="512"/>
      <c r="AH82" s="513"/>
    </row>
    <row r="83" spans="2:34" ht="12.75" customHeight="1">
      <c r="B83" s="511"/>
      <c r="C83" s="512"/>
      <c r="D83" s="512"/>
      <c r="E83" s="512"/>
      <c r="F83" s="512"/>
      <c r="G83" s="512"/>
      <c r="H83" s="512"/>
      <c r="I83" s="512"/>
      <c r="J83" s="512"/>
      <c r="K83" s="512"/>
      <c r="L83" s="512"/>
      <c r="M83" s="512"/>
      <c r="N83" s="512"/>
      <c r="O83" s="512"/>
      <c r="P83" s="512"/>
      <c r="Q83" s="513"/>
      <c r="S83" s="511"/>
      <c r="T83" s="512"/>
      <c r="U83" s="512"/>
      <c r="V83" s="512"/>
      <c r="W83" s="512"/>
      <c r="X83" s="512"/>
      <c r="Y83" s="512"/>
      <c r="Z83" s="512"/>
      <c r="AA83" s="512"/>
      <c r="AB83" s="512"/>
      <c r="AC83" s="512"/>
      <c r="AD83" s="512"/>
      <c r="AE83" s="512"/>
      <c r="AF83" s="512"/>
      <c r="AG83" s="512"/>
      <c r="AH83" s="513"/>
    </row>
    <row r="84" spans="2:34" ht="12.75" customHeight="1">
      <c r="B84" s="511"/>
      <c r="C84" s="512"/>
      <c r="D84" s="512"/>
      <c r="E84" s="512"/>
      <c r="F84" s="512"/>
      <c r="G84" s="512"/>
      <c r="H84" s="512"/>
      <c r="I84" s="512"/>
      <c r="J84" s="512"/>
      <c r="K84" s="512"/>
      <c r="L84" s="512"/>
      <c r="M84" s="512"/>
      <c r="N84" s="512"/>
      <c r="O84" s="512"/>
      <c r="P84" s="512"/>
      <c r="Q84" s="513"/>
      <c r="S84" s="511"/>
      <c r="T84" s="512"/>
      <c r="U84" s="512"/>
      <c r="V84" s="512"/>
      <c r="W84" s="512"/>
      <c r="X84" s="512"/>
      <c r="Y84" s="512"/>
      <c r="Z84" s="512"/>
      <c r="AA84" s="512"/>
      <c r="AB84" s="512"/>
      <c r="AC84" s="512"/>
      <c r="AD84" s="512"/>
      <c r="AE84" s="512"/>
      <c r="AF84" s="512"/>
      <c r="AG84" s="512"/>
      <c r="AH84" s="513"/>
    </row>
    <row r="85" spans="2:34" ht="12.75" customHeight="1">
      <c r="B85" s="511"/>
      <c r="C85" s="512"/>
      <c r="D85" s="512"/>
      <c r="E85" s="512"/>
      <c r="F85" s="512"/>
      <c r="G85" s="512"/>
      <c r="H85" s="512"/>
      <c r="I85" s="512"/>
      <c r="J85" s="512"/>
      <c r="K85" s="512"/>
      <c r="L85" s="512"/>
      <c r="M85" s="512"/>
      <c r="N85" s="512"/>
      <c r="O85" s="512"/>
      <c r="P85" s="512"/>
      <c r="Q85" s="513"/>
      <c r="S85" s="511"/>
      <c r="T85" s="512"/>
      <c r="U85" s="512"/>
      <c r="V85" s="512"/>
      <c r="W85" s="512"/>
      <c r="X85" s="512"/>
      <c r="Y85" s="512"/>
      <c r="Z85" s="512"/>
      <c r="AA85" s="512"/>
      <c r="AB85" s="512"/>
      <c r="AC85" s="512"/>
      <c r="AD85" s="512"/>
      <c r="AE85" s="512"/>
      <c r="AF85" s="512"/>
      <c r="AG85" s="512"/>
      <c r="AH85" s="513"/>
    </row>
    <row r="86" spans="2:34" ht="12.75" customHeight="1">
      <c r="B86" s="511"/>
      <c r="C86" s="512"/>
      <c r="D86" s="512"/>
      <c r="E86" s="512"/>
      <c r="F86" s="512"/>
      <c r="G86" s="512"/>
      <c r="H86" s="512"/>
      <c r="I86" s="512"/>
      <c r="J86" s="512"/>
      <c r="K86" s="512"/>
      <c r="L86" s="512"/>
      <c r="M86" s="512"/>
      <c r="N86" s="512"/>
      <c r="O86" s="512"/>
      <c r="P86" s="512"/>
      <c r="Q86" s="513"/>
      <c r="S86" s="511"/>
      <c r="T86" s="512"/>
      <c r="U86" s="512"/>
      <c r="V86" s="512"/>
      <c r="W86" s="512"/>
      <c r="X86" s="512"/>
      <c r="Y86" s="512"/>
      <c r="Z86" s="512"/>
      <c r="AA86" s="512"/>
      <c r="AB86" s="512"/>
      <c r="AC86" s="512"/>
      <c r="AD86" s="512"/>
      <c r="AE86" s="512"/>
      <c r="AF86" s="512"/>
      <c r="AG86" s="512"/>
      <c r="AH86" s="513"/>
    </row>
    <row r="87" spans="2:34" ht="12.75" customHeight="1">
      <c r="B87" s="511"/>
      <c r="C87" s="512"/>
      <c r="D87" s="512"/>
      <c r="E87" s="512"/>
      <c r="F87" s="512"/>
      <c r="G87" s="512"/>
      <c r="H87" s="512"/>
      <c r="I87" s="512"/>
      <c r="J87" s="512"/>
      <c r="K87" s="512"/>
      <c r="L87" s="512"/>
      <c r="M87" s="512"/>
      <c r="N87" s="512"/>
      <c r="O87" s="512"/>
      <c r="P87" s="512"/>
      <c r="Q87" s="513"/>
      <c r="S87" s="511"/>
      <c r="T87" s="512"/>
      <c r="U87" s="512"/>
      <c r="V87" s="512"/>
      <c r="W87" s="512"/>
      <c r="X87" s="512"/>
      <c r="Y87" s="512"/>
      <c r="Z87" s="512"/>
      <c r="AA87" s="512"/>
      <c r="AB87" s="512"/>
      <c r="AC87" s="512"/>
      <c r="AD87" s="512"/>
      <c r="AE87" s="512"/>
      <c r="AF87" s="512"/>
      <c r="AG87" s="512"/>
      <c r="AH87" s="513"/>
    </row>
    <row r="88" spans="2:34" ht="12.75" customHeight="1">
      <c r="B88" s="511"/>
      <c r="C88" s="512"/>
      <c r="D88" s="512"/>
      <c r="E88" s="512"/>
      <c r="F88" s="512"/>
      <c r="G88" s="512"/>
      <c r="H88" s="512"/>
      <c r="I88" s="512"/>
      <c r="J88" s="512"/>
      <c r="K88" s="512"/>
      <c r="L88" s="512"/>
      <c r="M88" s="512"/>
      <c r="N88" s="512"/>
      <c r="O88" s="512"/>
      <c r="P88" s="512"/>
      <c r="Q88" s="513"/>
      <c r="S88" s="511"/>
      <c r="T88" s="512"/>
      <c r="U88" s="512"/>
      <c r="V88" s="512"/>
      <c r="W88" s="512"/>
      <c r="X88" s="512"/>
      <c r="Y88" s="512"/>
      <c r="Z88" s="512"/>
      <c r="AA88" s="512"/>
      <c r="AB88" s="512"/>
      <c r="AC88" s="512"/>
      <c r="AD88" s="512"/>
      <c r="AE88" s="512"/>
      <c r="AF88" s="512"/>
      <c r="AG88" s="512"/>
      <c r="AH88" s="513"/>
    </row>
    <row r="89" spans="2:34" ht="12.75" customHeight="1">
      <c r="B89" s="511"/>
      <c r="C89" s="512"/>
      <c r="D89" s="512"/>
      <c r="E89" s="512"/>
      <c r="F89" s="512"/>
      <c r="G89" s="512"/>
      <c r="H89" s="512"/>
      <c r="I89" s="512"/>
      <c r="J89" s="512"/>
      <c r="K89" s="512"/>
      <c r="L89" s="512"/>
      <c r="M89" s="512"/>
      <c r="N89" s="512"/>
      <c r="O89" s="512"/>
      <c r="P89" s="512"/>
      <c r="Q89" s="513"/>
      <c r="S89" s="511"/>
      <c r="T89" s="512"/>
      <c r="U89" s="512"/>
      <c r="V89" s="512"/>
      <c r="W89" s="512"/>
      <c r="X89" s="512"/>
      <c r="Y89" s="512"/>
      <c r="Z89" s="512"/>
      <c r="AA89" s="512"/>
      <c r="AB89" s="512"/>
      <c r="AC89" s="512"/>
      <c r="AD89" s="512"/>
      <c r="AE89" s="512"/>
      <c r="AF89" s="512"/>
      <c r="AG89" s="512"/>
      <c r="AH89" s="513"/>
    </row>
    <row r="90" spans="2:34" ht="12.75" customHeight="1">
      <c r="B90" s="511"/>
      <c r="C90" s="512"/>
      <c r="D90" s="512"/>
      <c r="E90" s="512"/>
      <c r="F90" s="512"/>
      <c r="G90" s="512"/>
      <c r="H90" s="512"/>
      <c r="I90" s="512"/>
      <c r="J90" s="512"/>
      <c r="K90" s="512"/>
      <c r="L90" s="512"/>
      <c r="M90" s="512"/>
      <c r="N90" s="512"/>
      <c r="O90" s="512"/>
      <c r="P90" s="512"/>
      <c r="Q90" s="513"/>
      <c r="S90" s="511"/>
      <c r="T90" s="512"/>
      <c r="U90" s="512"/>
      <c r="V90" s="512"/>
      <c r="W90" s="512"/>
      <c r="X90" s="512"/>
      <c r="Y90" s="512"/>
      <c r="Z90" s="512"/>
      <c r="AA90" s="512"/>
      <c r="AB90" s="512"/>
      <c r="AC90" s="512"/>
      <c r="AD90" s="512"/>
      <c r="AE90" s="512"/>
      <c r="AF90" s="512"/>
      <c r="AG90" s="512"/>
      <c r="AH90" s="513"/>
    </row>
    <row r="91" spans="2:34" ht="12.75" customHeight="1">
      <c r="B91" s="511"/>
      <c r="C91" s="512"/>
      <c r="D91" s="512"/>
      <c r="E91" s="512"/>
      <c r="F91" s="512"/>
      <c r="G91" s="512"/>
      <c r="H91" s="512"/>
      <c r="I91" s="512"/>
      <c r="J91" s="512"/>
      <c r="K91" s="512"/>
      <c r="L91" s="512"/>
      <c r="M91" s="512"/>
      <c r="N91" s="512"/>
      <c r="O91" s="512"/>
      <c r="P91" s="512"/>
      <c r="Q91" s="513"/>
      <c r="S91" s="511"/>
      <c r="T91" s="512"/>
      <c r="U91" s="512"/>
      <c r="V91" s="512"/>
      <c r="W91" s="512"/>
      <c r="X91" s="512"/>
      <c r="Y91" s="512"/>
      <c r="Z91" s="512"/>
      <c r="AA91" s="512"/>
      <c r="AB91" s="512"/>
      <c r="AC91" s="512"/>
      <c r="AD91" s="512"/>
      <c r="AE91" s="512"/>
      <c r="AF91" s="512"/>
      <c r="AG91" s="512"/>
      <c r="AH91" s="513"/>
    </row>
    <row r="92" spans="2:34" ht="12.75" customHeight="1">
      <c r="B92" s="511"/>
      <c r="C92" s="512"/>
      <c r="D92" s="512"/>
      <c r="E92" s="512"/>
      <c r="F92" s="512"/>
      <c r="G92" s="512"/>
      <c r="H92" s="512"/>
      <c r="I92" s="512"/>
      <c r="J92" s="512"/>
      <c r="K92" s="512"/>
      <c r="L92" s="512"/>
      <c r="M92" s="512"/>
      <c r="N92" s="512"/>
      <c r="O92" s="512"/>
      <c r="P92" s="512"/>
      <c r="Q92" s="513"/>
      <c r="S92" s="511"/>
      <c r="T92" s="512"/>
      <c r="U92" s="512"/>
      <c r="V92" s="512"/>
      <c r="W92" s="512"/>
      <c r="X92" s="512"/>
      <c r="Y92" s="512"/>
      <c r="Z92" s="512"/>
      <c r="AA92" s="512"/>
      <c r="AB92" s="512"/>
      <c r="AC92" s="512"/>
      <c r="AD92" s="512"/>
      <c r="AE92" s="512"/>
      <c r="AF92" s="512"/>
      <c r="AG92" s="512"/>
      <c r="AH92" s="513"/>
    </row>
    <row r="93" spans="2:34" ht="12.75" customHeight="1">
      <c r="B93" s="511"/>
      <c r="C93" s="512"/>
      <c r="D93" s="512"/>
      <c r="E93" s="512"/>
      <c r="F93" s="512"/>
      <c r="G93" s="512"/>
      <c r="H93" s="512"/>
      <c r="I93" s="512"/>
      <c r="J93" s="512"/>
      <c r="K93" s="512"/>
      <c r="L93" s="512"/>
      <c r="M93" s="512"/>
      <c r="N93" s="512"/>
      <c r="O93" s="512"/>
      <c r="P93" s="512"/>
      <c r="Q93" s="513"/>
      <c r="S93" s="511"/>
      <c r="T93" s="512"/>
      <c r="U93" s="512"/>
      <c r="V93" s="512"/>
      <c r="W93" s="512"/>
      <c r="X93" s="512"/>
      <c r="Y93" s="512"/>
      <c r="Z93" s="512"/>
      <c r="AA93" s="512"/>
      <c r="AB93" s="512"/>
      <c r="AC93" s="512"/>
      <c r="AD93" s="512"/>
      <c r="AE93" s="512"/>
      <c r="AF93" s="512"/>
      <c r="AG93" s="512"/>
      <c r="AH93" s="513"/>
    </row>
    <row r="94" spans="2:34" ht="12.75" customHeight="1">
      <c r="B94" s="511"/>
      <c r="C94" s="512"/>
      <c r="D94" s="512"/>
      <c r="E94" s="512"/>
      <c r="F94" s="512"/>
      <c r="G94" s="512"/>
      <c r="H94" s="512"/>
      <c r="I94" s="512"/>
      <c r="J94" s="512"/>
      <c r="K94" s="512"/>
      <c r="L94" s="512"/>
      <c r="M94" s="512"/>
      <c r="N94" s="512"/>
      <c r="O94" s="512"/>
      <c r="P94" s="512"/>
      <c r="Q94" s="513"/>
      <c r="S94" s="511"/>
      <c r="T94" s="512"/>
      <c r="U94" s="512"/>
      <c r="V94" s="512"/>
      <c r="W94" s="512"/>
      <c r="X94" s="512"/>
      <c r="Y94" s="512"/>
      <c r="Z94" s="512"/>
      <c r="AA94" s="512"/>
      <c r="AB94" s="512"/>
      <c r="AC94" s="512"/>
      <c r="AD94" s="512"/>
      <c r="AE94" s="512"/>
      <c r="AF94" s="512"/>
      <c r="AG94" s="512"/>
      <c r="AH94" s="513"/>
    </row>
    <row r="95" spans="2:34" ht="12.75" customHeight="1">
      <c r="B95" s="511"/>
      <c r="C95" s="512"/>
      <c r="D95" s="512"/>
      <c r="E95" s="512"/>
      <c r="F95" s="512"/>
      <c r="G95" s="512"/>
      <c r="H95" s="512"/>
      <c r="I95" s="512"/>
      <c r="J95" s="512"/>
      <c r="K95" s="512"/>
      <c r="L95" s="512"/>
      <c r="M95" s="512"/>
      <c r="N95" s="512"/>
      <c r="O95" s="512"/>
      <c r="P95" s="512"/>
      <c r="Q95" s="513"/>
      <c r="S95" s="511"/>
      <c r="T95" s="512"/>
      <c r="U95" s="512"/>
      <c r="V95" s="512"/>
      <c r="W95" s="512"/>
      <c r="X95" s="512"/>
      <c r="Y95" s="512"/>
      <c r="Z95" s="512"/>
      <c r="AA95" s="512"/>
      <c r="AB95" s="512"/>
      <c r="AC95" s="512"/>
      <c r="AD95" s="512"/>
      <c r="AE95" s="512"/>
      <c r="AF95" s="512"/>
      <c r="AG95" s="512"/>
      <c r="AH95" s="513"/>
    </row>
    <row r="96" spans="2:34" ht="12.75" customHeight="1">
      <c r="B96" s="511"/>
      <c r="C96" s="512"/>
      <c r="D96" s="512"/>
      <c r="E96" s="512"/>
      <c r="F96" s="512"/>
      <c r="G96" s="512"/>
      <c r="H96" s="512"/>
      <c r="I96" s="512"/>
      <c r="J96" s="512"/>
      <c r="K96" s="512"/>
      <c r="L96" s="512"/>
      <c r="M96" s="512"/>
      <c r="N96" s="512"/>
      <c r="O96" s="512"/>
      <c r="P96" s="512"/>
      <c r="Q96" s="513"/>
      <c r="S96" s="511"/>
      <c r="T96" s="512"/>
      <c r="U96" s="512"/>
      <c r="V96" s="512"/>
      <c r="W96" s="512"/>
      <c r="X96" s="512"/>
      <c r="Y96" s="512"/>
      <c r="Z96" s="512"/>
      <c r="AA96" s="512"/>
      <c r="AB96" s="512"/>
      <c r="AC96" s="512"/>
      <c r="AD96" s="512"/>
      <c r="AE96" s="512"/>
      <c r="AF96" s="512"/>
      <c r="AG96" s="512"/>
      <c r="AH96" s="513"/>
    </row>
    <row r="97" spans="2:34" ht="12.75" customHeight="1">
      <c r="B97" s="511"/>
      <c r="C97" s="512"/>
      <c r="D97" s="512"/>
      <c r="E97" s="512"/>
      <c r="F97" s="512"/>
      <c r="G97" s="512"/>
      <c r="H97" s="512"/>
      <c r="I97" s="512"/>
      <c r="J97" s="512"/>
      <c r="K97" s="512"/>
      <c r="L97" s="512"/>
      <c r="M97" s="512"/>
      <c r="N97" s="512"/>
      <c r="O97" s="512"/>
      <c r="P97" s="512"/>
      <c r="Q97" s="513"/>
      <c r="S97" s="511"/>
      <c r="T97" s="512"/>
      <c r="U97" s="512"/>
      <c r="V97" s="512"/>
      <c r="W97" s="512"/>
      <c r="X97" s="512"/>
      <c r="Y97" s="512"/>
      <c r="Z97" s="512"/>
      <c r="AA97" s="512"/>
      <c r="AB97" s="512"/>
      <c r="AC97" s="512"/>
      <c r="AD97" s="512"/>
      <c r="AE97" s="512"/>
      <c r="AF97" s="512"/>
      <c r="AG97" s="512"/>
      <c r="AH97" s="513"/>
    </row>
    <row r="98" spans="2:34" ht="12.75" customHeight="1">
      <c r="B98" s="511"/>
      <c r="C98" s="512"/>
      <c r="D98" s="512"/>
      <c r="E98" s="512"/>
      <c r="F98" s="512"/>
      <c r="G98" s="512"/>
      <c r="H98" s="512"/>
      <c r="I98" s="512"/>
      <c r="J98" s="512"/>
      <c r="K98" s="512"/>
      <c r="L98" s="512"/>
      <c r="M98" s="512"/>
      <c r="N98" s="512"/>
      <c r="O98" s="512"/>
      <c r="P98" s="512"/>
      <c r="Q98" s="513"/>
      <c r="S98" s="511"/>
      <c r="T98" s="512"/>
      <c r="U98" s="512"/>
      <c r="V98" s="512"/>
      <c r="W98" s="512"/>
      <c r="X98" s="512"/>
      <c r="Y98" s="512"/>
      <c r="Z98" s="512"/>
      <c r="AA98" s="512"/>
      <c r="AB98" s="512"/>
      <c r="AC98" s="512"/>
      <c r="AD98" s="512"/>
      <c r="AE98" s="512"/>
      <c r="AF98" s="512"/>
      <c r="AG98" s="512"/>
      <c r="AH98" s="513"/>
    </row>
    <row r="99" spans="2:34" ht="12.75" customHeight="1">
      <c r="B99" s="511"/>
      <c r="C99" s="512"/>
      <c r="D99" s="512"/>
      <c r="E99" s="512"/>
      <c r="F99" s="512"/>
      <c r="G99" s="512"/>
      <c r="H99" s="512"/>
      <c r="I99" s="512"/>
      <c r="J99" s="512"/>
      <c r="K99" s="512"/>
      <c r="L99" s="512"/>
      <c r="M99" s="512"/>
      <c r="N99" s="512"/>
      <c r="O99" s="512"/>
      <c r="P99" s="512"/>
      <c r="Q99" s="513"/>
      <c r="S99" s="511"/>
      <c r="T99" s="512"/>
      <c r="U99" s="512"/>
      <c r="V99" s="512"/>
      <c r="W99" s="512"/>
      <c r="X99" s="512"/>
      <c r="Y99" s="512"/>
      <c r="Z99" s="512"/>
      <c r="AA99" s="512"/>
      <c r="AB99" s="512"/>
      <c r="AC99" s="512"/>
      <c r="AD99" s="512"/>
      <c r="AE99" s="512"/>
      <c r="AF99" s="512"/>
      <c r="AG99" s="512"/>
      <c r="AH99" s="513"/>
    </row>
    <row r="100" spans="2:34" ht="12.75" customHeight="1">
      <c r="B100" s="511"/>
      <c r="C100" s="512"/>
      <c r="D100" s="512"/>
      <c r="E100" s="512"/>
      <c r="F100" s="512"/>
      <c r="G100" s="512"/>
      <c r="H100" s="512"/>
      <c r="I100" s="512"/>
      <c r="J100" s="512"/>
      <c r="K100" s="512"/>
      <c r="L100" s="512"/>
      <c r="M100" s="512"/>
      <c r="N100" s="512"/>
      <c r="O100" s="512"/>
      <c r="P100" s="512"/>
      <c r="Q100" s="513"/>
      <c r="S100" s="511"/>
      <c r="T100" s="512"/>
      <c r="U100" s="512"/>
      <c r="V100" s="512"/>
      <c r="W100" s="512"/>
      <c r="X100" s="512"/>
      <c r="Y100" s="512"/>
      <c r="Z100" s="512"/>
      <c r="AA100" s="512"/>
      <c r="AB100" s="512"/>
      <c r="AC100" s="512"/>
      <c r="AD100" s="512"/>
      <c r="AE100" s="512"/>
      <c r="AF100" s="512"/>
      <c r="AG100" s="512"/>
      <c r="AH100" s="513"/>
    </row>
    <row r="101" spans="2:34" ht="12.75" customHeight="1">
      <c r="B101" s="511"/>
      <c r="C101" s="512"/>
      <c r="D101" s="512"/>
      <c r="E101" s="512"/>
      <c r="F101" s="512"/>
      <c r="G101" s="512"/>
      <c r="H101" s="512"/>
      <c r="I101" s="512"/>
      <c r="J101" s="512"/>
      <c r="K101" s="512"/>
      <c r="L101" s="512"/>
      <c r="M101" s="512"/>
      <c r="N101" s="512"/>
      <c r="O101" s="512"/>
      <c r="P101" s="512"/>
      <c r="Q101" s="513"/>
      <c r="S101" s="511"/>
      <c r="T101" s="512"/>
      <c r="U101" s="512"/>
      <c r="V101" s="512"/>
      <c r="W101" s="512"/>
      <c r="X101" s="512"/>
      <c r="Y101" s="512"/>
      <c r="Z101" s="512"/>
      <c r="AA101" s="512"/>
      <c r="AB101" s="512"/>
      <c r="AC101" s="512"/>
      <c r="AD101" s="512"/>
      <c r="AE101" s="512"/>
      <c r="AF101" s="512"/>
      <c r="AG101" s="512"/>
      <c r="AH101" s="513"/>
    </row>
    <row r="102" spans="2:34" ht="12.75" customHeight="1">
      <c r="B102" s="511"/>
      <c r="C102" s="512"/>
      <c r="D102" s="512"/>
      <c r="E102" s="512"/>
      <c r="F102" s="512"/>
      <c r="G102" s="512"/>
      <c r="H102" s="512"/>
      <c r="I102" s="512"/>
      <c r="J102" s="512"/>
      <c r="K102" s="512"/>
      <c r="L102" s="512"/>
      <c r="M102" s="512"/>
      <c r="N102" s="512"/>
      <c r="O102" s="512"/>
      <c r="P102" s="512"/>
      <c r="Q102" s="513"/>
      <c r="S102" s="511"/>
      <c r="T102" s="512"/>
      <c r="U102" s="512"/>
      <c r="V102" s="512"/>
      <c r="W102" s="512"/>
      <c r="X102" s="512"/>
      <c r="Y102" s="512"/>
      <c r="Z102" s="512"/>
      <c r="AA102" s="512"/>
      <c r="AB102" s="512"/>
      <c r="AC102" s="512"/>
      <c r="AD102" s="512"/>
      <c r="AE102" s="512"/>
      <c r="AF102" s="512"/>
      <c r="AG102" s="512"/>
      <c r="AH102" s="513"/>
    </row>
    <row r="103" spans="2:34" ht="12.75" customHeight="1">
      <c r="B103" s="511"/>
      <c r="C103" s="512"/>
      <c r="D103" s="512"/>
      <c r="E103" s="512"/>
      <c r="F103" s="512"/>
      <c r="G103" s="512"/>
      <c r="H103" s="512"/>
      <c r="I103" s="512"/>
      <c r="J103" s="512"/>
      <c r="K103" s="512"/>
      <c r="L103" s="512"/>
      <c r="M103" s="512"/>
      <c r="N103" s="512"/>
      <c r="O103" s="512"/>
      <c r="P103" s="512"/>
      <c r="Q103" s="513"/>
      <c r="S103" s="511"/>
      <c r="T103" s="512"/>
      <c r="U103" s="512"/>
      <c r="V103" s="512"/>
      <c r="W103" s="512"/>
      <c r="X103" s="512"/>
      <c r="Y103" s="512"/>
      <c r="Z103" s="512"/>
      <c r="AA103" s="512"/>
      <c r="AB103" s="512"/>
      <c r="AC103" s="512"/>
      <c r="AD103" s="512"/>
      <c r="AE103" s="512"/>
      <c r="AF103" s="512"/>
      <c r="AG103" s="512"/>
      <c r="AH103" s="513"/>
    </row>
    <row r="104" spans="2:34" ht="12.75" customHeight="1">
      <c r="B104" s="511"/>
      <c r="C104" s="512"/>
      <c r="D104" s="512"/>
      <c r="E104" s="512"/>
      <c r="F104" s="512"/>
      <c r="G104" s="512"/>
      <c r="H104" s="512"/>
      <c r="I104" s="512"/>
      <c r="J104" s="512"/>
      <c r="K104" s="512"/>
      <c r="L104" s="512"/>
      <c r="M104" s="512"/>
      <c r="N104" s="512"/>
      <c r="O104" s="512"/>
      <c r="P104" s="512"/>
      <c r="Q104" s="513"/>
      <c r="S104" s="511"/>
      <c r="T104" s="512"/>
      <c r="U104" s="512"/>
      <c r="V104" s="512"/>
      <c r="W104" s="512"/>
      <c r="X104" s="512"/>
      <c r="Y104" s="512"/>
      <c r="Z104" s="512"/>
      <c r="AA104" s="512"/>
      <c r="AB104" s="512"/>
      <c r="AC104" s="512"/>
      <c r="AD104" s="512"/>
      <c r="AE104" s="512"/>
      <c r="AF104" s="512"/>
      <c r="AG104" s="512"/>
      <c r="AH104" s="513"/>
    </row>
    <row r="105" spans="2:34" ht="12.75" customHeight="1">
      <c r="B105" s="511"/>
      <c r="C105" s="512"/>
      <c r="D105" s="512"/>
      <c r="E105" s="512"/>
      <c r="F105" s="512"/>
      <c r="G105" s="512"/>
      <c r="H105" s="512"/>
      <c r="I105" s="512"/>
      <c r="J105" s="512"/>
      <c r="K105" s="512"/>
      <c r="L105" s="512"/>
      <c r="M105" s="512"/>
      <c r="N105" s="512"/>
      <c r="O105" s="512"/>
      <c r="P105" s="512"/>
      <c r="Q105" s="513"/>
      <c r="S105" s="511"/>
      <c r="T105" s="512"/>
      <c r="U105" s="512"/>
      <c r="V105" s="512"/>
      <c r="W105" s="512"/>
      <c r="X105" s="512"/>
      <c r="Y105" s="512"/>
      <c r="Z105" s="512"/>
      <c r="AA105" s="512"/>
      <c r="AB105" s="512"/>
      <c r="AC105" s="512"/>
      <c r="AD105" s="512"/>
      <c r="AE105" s="512"/>
      <c r="AF105" s="512"/>
      <c r="AG105" s="512"/>
      <c r="AH105" s="513"/>
    </row>
    <row r="106" spans="2:34" ht="12.75" customHeight="1">
      <c r="B106" s="511"/>
      <c r="C106" s="512"/>
      <c r="D106" s="512"/>
      <c r="E106" s="512"/>
      <c r="F106" s="512"/>
      <c r="G106" s="512"/>
      <c r="H106" s="512"/>
      <c r="I106" s="512"/>
      <c r="J106" s="512"/>
      <c r="K106" s="512"/>
      <c r="L106" s="512"/>
      <c r="M106" s="512"/>
      <c r="N106" s="512"/>
      <c r="O106" s="512"/>
      <c r="P106" s="512"/>
      <c r="Q106" s="513"/>
      <c r="S106" s="511"/>
      <c r="T106" s="512"/>
      <c r="U106" s="512"/>
      <c r="V106" s="512"/>
      <c r="W106" s="512"/>
      <c r="X106" s="512"/>
      <c r="Y106" s="512"/>
      <c r="Z106" s="512"/>
      <c r="AA106" s="512"/>
      <c r="AB106" s="512"/>
      <c r="AC106" s="512"/>
      <c r="AD106" s="512"/>
      <c r="AE106" s="512"/>
      <c r="AF106" s="512"/>
      <c r="AG106" s="512"/>
      <c r="AH106" s="513"/>
    </row>
    <row r="107" spans="2:34" ht="12.75" customHeight="1">
      <c r="B107" s="511"/>
      <c r="C107" s="512"/>
      <c r="D107" s="512"/>
      <c r="E107" s="512"/>
      <c r="F107" s="512"/>
      <c r="G107" s="512"/>
      <c r="H107" s="512"/>
      <c r="I107" s="512"/>
      <c r="J107" s="512"/>
      <c r="K107" s="512"/>
      <c r="L107" s="512"/>
      <c r="M107" s="512"/>
      <c r="N107" s="512"/>
      <c r="O107" s="512"/>
      <c r="P107" s="512"/>
      <c r="Q107" s="513"/>
      <c r="S107" s="511"/>
      <c r="T107" s="512"/>
      <c r="U107" s="512"/>
      <c r="V107" s="512"/>
      <c r="W107" s="512"/>
      <c r="X107" s="512"/>
      <c r="Y107" s="512"/>
      <c r="Z107" s="512"/>
      <c r="AA107" s="512"/>
      <c r="AB107" s="512"/>
      <c r="AC107" s="512"/>
      <c r="AD107" s="512"/>
      <c r="AE107" s="512"/>
      <c r="AF107" s="512"/>
      <c r="AG107" s="512"/>
      <c r="AH107" s="513"/>
    </row>
    <row r="108" spans="2:34" ht="12.75" customHeight="1">
      <c r="B108" s="511"/>
      <c r="C108" s="512"/>
      <c r="D108" s="512"/>
      <c r="E108" s="512"/>
      <c r="F108" s="512"/>
      <c r="G108" s="512"/>
      <c r="H108" s="512"/>
      <c r="I108" s="512"/>
      <c r="J108" s="512"/>
      <c r="K108" s="512"/>
      <c r="L108" s="512"/>
      <c r="M108" s="512"/>
      <c r="N108" s="512"/>
      <c r="O108" s="512"/>
      <c r="P108" s="512"/>
      <c r="Q108" s="513"/>
      <c r="S108" s="511"/>
      <c r="T108" s="512"/>
      <c r="U108" s="512"/>
      <c r="V108" s="512"/>
      <c r="W108" s="512"/>
      <c r="X108" s="512"/>
      <c r="Y108" s="512"/>
      <c r="Z108" s="512"/>
      <c r="AA108" s="512"/>
      <c r="AB108" s="512"/>
      <c r="AC108" s="512"/>
      <c r="AD108" s="512"/>
      <c r="AE108" s="512"/>
      <c r="AF108" s="512"/>
      <c r="AG108" s="512"/>
      <c r="AH108" s="513"/>
    </row>
    <row r="109" spans="2:34" ht="12.75" customHeight="1">
      <c r="B109" s="511"/>
      <c r="C109" s="512"/>
      <c r="D109" s="512"/>
      <c r="E109" s="512"/>
      <c r="F109" s="512"/>
      <c r="G109" s="512"/>
      <c r="H109" s="512"/>
      <c r="I109" s="512"/>
      <c r="J109" s="512"/>
      <c r="K109" s="512"/>
      <c r="L109" s="512"/>
      <c r="M109" s="512"/>
      <c r="N109" s="512"/>
      <c r="O109" s="512"/>
      <c r="P109" s="512"/>
      <c r="Q109" s="513"/>
      <c r="S109" s="511"/>
      <c r="T109" s="512"/>
      <c r="U109" s="512"/>
      <c r="V109" s="512"/>
      <c r="W109" s="512"/>
      <c r="X109" s="512"/>
      <c r="Y109" s="512"/>
      <c r="Z109" s="512"/>
      <c r="AA109" s="512"/>
      <c r="AB109" s="512"/>
      <c r="AC109" s="512"/>
      <c r="AD109" s="512"/>
      <c r="AE109" s="512"/>
      <c r="AF109" s="512"/>
      <c r="AG109" s="512"/>
      <c r="AH109" s="513"/>
    </row>
    <row r="110" spans="2:34" ht="12.75" customHeight="1">
      <c r="B110" s="511"/>
      <c r="C110" s="512"/>
      <c r="D110" s="512"/>
      <c r="E110" s="512"/>
      <c r="F110" s="512"/>
      <c r="G110" s="512"/>
      <c r="H110" s="512"/>
      <c r="I110" s="512"/>
      <c r="J110" s="512"/>
      <c r="K110" s="512"/>
      <c r="L110" s="512"/>
      <c r="M110" s="512"/>
      <c r="N110" s="512"/>
      <c r="O110" s="512"/>
      <c r="P110" s="512"/>
      <c r="Q110" s="513"/>
      <c r="S110" s="511"/>
      <c r="T110" s="512"/>
      <c r="U110" s="512"/>
      <c r="V110" s="512"/>
      <c r="W110" s="512"/>
      <c r="X110" s="512"/>
      <c r="Y110" s="512"/>
      <c r="Z110" s="512"/>
      <c r="AA110" s="512"/>
      <c r="AB110" s="512"/>
      <c r="AC110" s="512"/>
      <c r="AD110" s="512"/>
      <c r="AE110" s="512"/>
      <c r="AF110" s="512"/>
      <c r="AG110" s="512"/>
      <c r="AH110" s="513"/>
    </row>
    <row r="111" spans="2:34" ht="12.75" customHeight="1">
      <c r="B111" s="511"/>
      <c r="C111" s="512"/>
      <c r="D111" s="512"/>
      <c r="E111" s="512"/>
      <c r="F111" s="512"/>
      <c r="G111" s="512"/>
      <c r="H111" s="512"/>
      <c r="I111" s="512"/>
      <c r="J111" s="512"/>
      <c r="K111" s="512"/>
      <c r="L111" s="512"/>
      <c r="M111" s="512"/>
      <c r="N111" s="512"/>
      <c r="O111" s="512"/>
      <c r="P111" s="512"/>
      <c r="Q111" s="513"/>
      <c r="S111" s="511"/>
      <c r="T111" s="512"/>
      <c r="U111" s="512"/>
      <c r="V111" s="512"/>
      <c r="W111" s="512"/>
      <c r="X111" s="512"/>
      <c r="Y111" s="512"/>
      <c r="Z111" s="512"/>
      <c r="AA111" s="512"/>
      <c r="AB111" s="512"/>
      <c r="AC111" s="512"/>
      <c r="AD111" s="512"/>
      <c r="AE111" s="512"/>
      <c r="AF111" s="512"/>
      <c r="AG111" s="512"/>
      <c r="AH111" s="513"/>
    </row>
    <row r="112" spans="2:34" ht="12.75" customHeight="1">
      <c r="B112" s="511"/>
      <c r="C112" s="512"/>
      <c r="D112" s="512"/>
      <c r="E112" s="512"/>
      <c r="F112" s="512"/>
      <c r="G112" s="512"/>
      <c r="H112" s="512"/>
      <c r="I112" s="512"/>
      <c r="J112" s="512"/>
      <c r="K112" s="512"/>
      <c r="L112" s="512"/>
      <c r="M112" s="512"/>
      <c r="N112" s="512"/>
      <c r="O112" s="512"/>
      <c r="P112" s="512"/>
      <c r="Q112" s="513"/>
      <c r="S112" s="511"/>
      <c r="T112" s="512"/>
      <c r="U112" s="512"/>
      <c r="V112" s="512"/>
      <c r="W112" s="512"/>
      <c r="X112" s="512"/>
      <c r="Y112" s="512"/>
      <c r="Z112" s="512"/>
      <c r="AA112" s="512"/>
      <c r="AB112" s="512"/>
      <c r="AC112" s="512"/>
      <c r="AD112" s="512"/>
      <c r="AE112" s="512"/>
      <c r="AF112" s="512"/>
      <c r="AG112" s="512"/>
      <c r="AH112" s="513"/>
    </row>
    <row r="113" spans="2:34" ht="12.75" customHeight="1">
      <c r="B113" s="511"/>
      <c r="C113" s="512"/>
      <c r="D113" s="512"/>
      <c r="E113" s="512"/>
      <c r="F113" s="512"/>
      <c r="G113" s="512"/>
      <c r="H113" s="512"/>
      <c r="I113" s="512"/>
      <c r="J113" s="512"/>
      <c r="K113" s="512"/>
      <c r="L113" s="512"/>
      <c r="M113" s="512"/>
      <c r="N113" s="512"/>
      <c r="O113" s="512"/>
      <c r="P113" s="512"/>
      <c r="Q113" s="513"/>
      <c r="S113" s="511"/>
      <c r="T113" s="512"/>
      <c r="U113" s="512"/>
      <c r="V113" s="512"/>
      <c r="W113" s="512"/>
      <c r="X113" s="512"/>
      <c r="Y113" s="512"/>
      <c r="Z113" s="512"/>
      <c r="AA113" s="512"/>
      <c r="AB113" s="512"/>
      <c r="AC113" s="512"/>
      <c r="AD113" s="512"/>
      <c r="AE113" s="512"/>
      <c r="AF113" s="512"/>
      <c r="AG113" s="512"/>
      <c r="AH113" s="513"/>
    </row>
    <row r="114" spans="2:34" ht="12.75" customHeight="1">
      <c r="B114" s="511"/>
      <c r="C114" s="512"/>
      <c r="D114" s="512"/>
      <c r="E114" s="512"/>
      <c r="F114" s="512"/>
      <c r="G114" s="512"/>
      <c r="H114" s="512"/>
      <c r="I114" s="512"/>
      <c r="J114" s="512"/>
      <c r="K114" s="512"/>
      <c r="L114" s="512"/>
      <c r="M114" s="512"/>
      <c r="N114" s="512"/>
      <c r="O114" s="512"/>
      <c r="P114" s="512"/>
      <c r="Q114" s="513"/>
      <c r="S114" s="511"/>
      <c r="T114" s="512"/>
      <c r="U114" s="512"/>
      <c r="V114" s="512"/>
      <c r="W114" s="512"/>
      <c r="X114" s="512"/>
      <c r="Y114" s="512"/>
      <c r="Z114" s="512"/>
      <c r="AA114" s="512"/>
      <c r="AB114" s="512"/>
      <c r="AC114" s="512"/>
      <c r="AD114" s="512"/>
      <c r="AE114" s="512"/>
      <c r="AF114" s="512"/>
      <c r="AG114" s="512"/>
      <c r="AH114" s="513"/>
    </row>
    <row r="115" spans="2:34" ht="12.75" customHeight="1">
      <c r="B115" s="511"/>
      <c r="C115" s="512"/>
      <c r="D115" s="512"/>
      <c r="E115" s="512"/>
      <c r="F115" s="512"/>
      <c r="G115" s="512"/>
      <c r="H115" s="512"/>
      <c r="I115" s="512"/>
      <c r="J115" s="512"/>
      <c r="K115" s="512"/>
      <c r="L115" s="512"/>
      <c r="M115" s="512"/>
      <c r="N115" s="512"/>
      <c r="O115" s="512"/>
      <c r="P115" s="512"/>
      <c r="Q115" s="513"/>
      <c r="S115" s="511"/>
      <c r="T115" s="512"/>
      <c r="U115" s="512"/>
      <c r="V115" s="512"/>
      <c r="W115" s="512"/>
      <c r="X115" s="512"/>
      <c r="Y115" s="512"/>
      <c r="Z115" s="512"/>
      <c r="AA115" s="512"/>
      <c r="AB115" s="512"/>
      <c r="AC115" s="512"/>
      <c r="AD115" s="512"/>
      <c r="AE115" s="512"/>
      <c r="AF115" s="512"/>
      <c r="AG115" s="512"/>
      <c r="AH115" s="513"/>
    </row>
    <row r="116" spans="2:34" ht="12.75" customHeight="1">
      <c r="B116" s="511"/>
      <c r="C116" s="512"/>
      <c r="D116" s="512"/>
      <c r="E116" s="512"/>
      <c r="F116" s="512"/>
      <c r="G116" s="512"/>
      <c r="H116" s="512"/>
      <c r="I116" s="512"/>
      <c r="J116" s="512"/>
      <c r="K116" s="512"/>
      <c r="L116" s="512"/>
      <c r="M116" s="512"/>
      <c r="N116" s="512"/>
      <c r="O116" s="512"/>
      <c r="P116" s="512"/>
      <c r="Q116" s="513"/>
      <c r="S116" s="511"/>
      <c r="T116" s="512"/>
      <c r="U116" s="512"/>
      <c r="V116" s="512"/>
      <c r="W116" s="512"/>
      <c r="X116" s="512"/>
      <c r="Y116" s="512"/>
      <c r="Z116" s="512"/>
      <c r="AA116" s="512"/>
      <c r="AB116" s="512"/>
      <c r="AC116" s="512"/>
      <c r="AD116" s="512"/>
      <c r="AE116" s="512"/>
      <c r="AF116" s="512"/>
      <c r="AG116" s="512"/>
      <c r="AH116" s="513"/>
    </row>
    <row r="117" spans="2:34" ht="12.75" customHeight="1">
      <c r="B117" s="511"/>
      <c r="C117" s="512"/>
      <c r="D117" s="512"/>
      <c r="E117" s="512"/>
      <c r="F117" s="512"/>
      <c r="G117" s="512"/>
      <c r="H117" s="512"/>
      <c r="I117" s="512"/>
      <c r="J117" s="512"/>
      <c r="K117" s="512"/>
      <c r="L117" s="512"/>
      <c r="M117" s="512"/>
      <c r="N117" s="512"/>
      <c r="O117" s="512"/>
      <c r="P117" s="512"/>
      <c r="Q117" s="513"/>
      <c r="S117" s="511"/>
      <c r="T117" s="512"/>
      <c r="U117" s="512"/>
      <c r="V117" s="512"/>
      <c r="W117" s="512"/>
      <c r="X117" s="512"/>
      <c r="Y117" s="512"/>
      <c r="Z117" s="512"/>
      <c r="AA117" s="512"/>
      <c r="AB117" s="512"/>
      <c r="AC117" s="512"/>
      <c r="AD117" s="512"/>
      <c r="AE117" s="512"/>
      <c r="AF117" s="512"/>
      <c r="AG117" s="512"/>
      <c r="AH117" s="513"/>
    </row>
    <row r="118" spans="2:34" ht="12.75" customHeight="1">
      <c r="B118" s="511"/>
      <c r="C118" s="512"/>
      <c r="D118" s="512"/>
      <c r="E118" s="512"/>
      <c r="F118" s="512"/>
      <c r="G118" s="512"/>
      <c r="H118" s="512"/>
      <c r="I118" s="512"/>
      <c r="J118" s="512"/>
      <c r="K118" s="512"/>
      <c r="L118" s="512"/>
      <c r="M118" s="512"/>
      <c r="N118" s="512"/>
      <c r="O118" s="512"/>
      <c r="P118" s="512"/>
      <c r="Q118" s="513"/>
      <c r="S118" s="511"/>
      <c r="T118" s="512"/>
      <c r="U118" s="512"/>
      <c r="V118" s="512"/>
      <c r="W118" s="512"/>
      <c r="X118" s="512"/>
      <c r="Y118" s="512"/>
      <c r="Z118" s="512"/>
      <c r="AA118" s="512"/>
      <c r="AB118" s="512"/>
      <c r="AC118" s="512"/>
      <c r="AD118" s="512"/>
      <c r="AE118" s="512"/>
      <c r="AF118" s="512"/>
      <c r="AG118" s="512"/>
      <c r="AH118" s="513"/>
    </row>
    <row r="119" spans="2:34" ht="12.75" customHeight="1">
      <c r="B119" s="511"/>
      <c r="C119" s="512"/>
      <c r="D119" s="512"/>
      <c r="E119" s="512"/>
      <c r="F119" s="512"/>
      <c r="G119" s="512"/>
      <c r="H119" s="512"/>
      <c r="I119" s="512"/>
      <c r="J119" s="512"/>
      <c r="K119" s="512"/>
      <c r="L119" s="512"/>
      <c r="M119" s="512"/>
      <c r="N119" s="512"/>
      <c r="O119" s="512"/>
      <c r="P119" s="512"/>
      <c r="Q119" s="513"/>
      <c r="S119" s="511"/>
      <c r="T119" s="512"/>
      <c r="U119" s="512"/>
      <c r="V119" s="512"/>
      <c r="W119" s="512"/>
      <c r="X119" s="512"/>
      <c r="Y119" s="512"/>
      <c r="Z119" s="512"/>
      <c r="AA119" s="512"/>
      <c r="AB119" s="512"/>
      <c r="AC119" s="512"/>
      <c r="AD119" s="512"/>
      <c r="AE119" s="512"/>
      <c r="AF119" s="512"/>
      <c r="AG119" s="512"/>
      <c r="AH119" s="513"/>
    </row>
    <row r="120" spans="2:34" ht="12.75" customHeight="1">
      <c r="B120" s="511"/>
      <c r="C120" s="512"/>
      <c r="D120" s="512"/>
      <c r="E120" s="512"/>
      <c r="F120" s="512"/>
      <c r="G120" s="512"/>
      <c r="H120" s="512"/>
      <c r="I120" s="512"/>
      <c r="J120" s="512"/>
      <c r="K120" s="512"/>
      <c r="L120" s="512"/>
      <c r="M120" s="512"/>
      <c r="N120" s="512"/>
      <c r="O120" s="512"/>
      <c r="P120" s="512"/>
      <c r="Q120" s="513"/>
      <c r="S120" s="511"/>
      <c r="T120" s="512"/>
      <c r="U120" s="512"/>
      <c r="V120" s="512"/>
      <c r="W120" s="512"/>
      <c r="X120" s="512"/>
      <c r="Y120" s="512"/>
      <c r="Z120" s="512"/>
      <c r="AA120" s="512"/>
      <c r="AB120" s="512"/>
      <c r="AC120" s="512"/>
      <c r="AD120" s="512"/>
      <c r="AE120" s="512"/>
      <c r="AF120" s="512"/>
      <c r="AG120" s="512"/>
      <c r="AH120" s="513"/>
    </row>
    <row r="121" spans="2:34" ht="12.75" customHeight="1">
      <c r="B121" s="511"/>
      <c r="C121" s="512"/>
      <c r="D121" s="512"/>
      <c r="E121" s="512"/>
      <c r="F121" s="512"/>
      <c r="G121" s="512"/>
      <c r="H121" s="512"/>
      <c r="I121" s="512"/>
      <c r="J121" s="512"/>
      <c r="K121" s="512"/>
      <c r="L121" s="512"/>
      <c r="M121" s="512"/>
      <c r="N121" s="512"/>
      <c r="O121" s="512"/>
      <c r="P121" s="512"/>
      <c r="Q121" s="513"/>
      <c r="S121" s="511"/>
      <c r="T121" s="512"/>
      <c r="U121" s="512"/>
      <c r="V121" s="512"/>
      <c r="W121" s="512"/>
      <c r="X121" s="512"/>
      <c r="Y121" s="512"/>
      <c r="Z121" s="512"/>
      <c r="AA121" s="512"/>
      <c r="AB121" s="512"/>
      <c r="AC121" s="512"/>
      <c r="AD121" s="512"/>
      <c r="AE121" s="512"/>
      <c r="AF121" s="512"/>
      <c r="AG121" s="512"/>
      <c r="AH121" s="513"/>
    </row>
    <row r="122" spans="2:34" ht="12.75" customHeight="1">
      <c r="B122" s="511"/>
      <c r="C122" s="512"/>
      <c r="D122" s="512"/>
      <c r="E122" s="512"/>
      <c r="F122" s="512"/>
      <c r="G122" s="512"/>
      <c r="H122" s="512"/>
      <c r="I122" s="512"/>
      <c r="J122" s="512"/>
      <c r="K122" s="512"/>
      <c r="L122" s="512"/>
      <c r="M122" s="512"/>
      <c r="N122" s="512"/>
      <c r="O122" s="512"/>
      <c r="P122" s="512"/>
      <c r="Q122" s="513"/>
      <c r="S122" s="511"/>
      <c r="T122" s="512"/>
      <c r="U122" s="512"/>
      <c r="V122" s="512"/>
      <c r="W122" s="512"/>
      <c r="X122" s="512"/>
      <c r="Y122" s="512"/>
      <c r="Z122" s="512"/>
      <c r="AA122" s="512"/>
      <c r="AB122" s="512"/>
      <c r="AC122" s="512"/>
      <c r="AD122" s="512"/>
      <c r="AE122" s="512"/>
      <c r="AF122" s="512"/>
      <c r="AG122" s="512"/>
      <c r="AH122" s="513"/>
    </row>
    <row r="123" spans="2:34" ht="12.75" customHeight="1">
      <c r="B123" s="511"/>
      <c r="C123" s="512"/>
      <c r="D123" s="512"/>
      <c r="E123" s="512"/>
      <c r="F123" s="512"/>
      <c r="G123" s="512"/>
      <c r="H123" s="512"/>
      <c r="I123" s="512"/>
      <c r="J123" s="512"/>
      <c r="K123" s="512"/>
      <c r="L123" s="512"/>
      <c r="M123" s="512"/>
      <c r="N123" s="512"/>
      <c r="O123" s="512"/>
      <c r="P123" s="512"/>
      <c r="Q123" s="513"/>
      <c r="S123" s="511"/>
      <c r="T123" s="512"/>
      <c r="U123" s="512"/>
      <c r="V123" s="512"/>
      <c r="W123" s="512"/>
      <c r="X123" s="512"/>
      <c r="Y123" s="512"/>
      <c r="Z123" s="512"/>
      <c r="AA123" s="512"/>
      <c r="AB123" s="512"/>
      <c r="AC123" s="512"/>
      <c r="AD123" s="512"/>
      <c r="AE123" s="512"/>
      <c r="AF123" s="512"/>
      <c r="AG123" s="512"/>
      <c r="AH123" s="513"/>
    </row>
    <row r="124" spans="2:34" ht="13.5" customHeight="1" thickBot="1">
      <c r="B124" s="514"/>
      <c r="C124" s="515"/>
      <c r="D124" s="515"/>
      <c r="E124" s="515"/>
      <c r="F124" s="515"/>
      <c r="G124" s="515"/>
      <c r="H124" s="515"/>
      <c r="I124" s="515"/>
      <c r="J124" s="515"/>
      <c r="K124" s="515"/>
      <c r="L124" s="515"/>
      <c r="M124" s="515"/>
      <c r="N124" s="515"/>
      <c r="O124" s="515"/>
      <c r="P124" s="515"/>
      <c r="Q124" s="516"/>
      <c r="S124" s="514"/>
      <c r="T124" s="515"/>
      <c r="U124" s="515"/>
      <c r="V124" s="515"/>
      <c r="W124" s="515"/>
      <c r="X124" s="515"/>
      <c r="Y124" s="515"/>
      <c r="Z124" s="515"/>
      <c r="AA124" s="515"/>
      <c r="AB124" s="515"/>
      <c r="AC124" s="515"/>
      <c r="AD124" s="515"/>
      <c r="AE124" s="515"/>
      <c r="AF124" s="515"/>
      <c r="AG124" s="515"/>
      <c r="AH124" s="516"/>
    </row>
    <row r="125" spans="2:34">
      <c r="S125" s="16"/>
      <c r="T125" s="16"/>
      <c r="U125" s="16"/>
      <c r="V125" s="16"/>
      <c r="W125" s="16"/>
      <c r="X125" s="16"/>
      <c r="Y125" s="16"/>
      <c r="Z125" s="16"/>
      <c r="AA125" s="16"/>
      <c r="AB125" s="16"/>
      <c r="AC125" s="16"/>
      <c r="AD125" s="16"/>
      <c r="AE125" s="16"/>
      <c r="AF125" s="16"/>
      <c r="AG125" s="16"/>
      <c r="AH125" s="16"/>
    </row>
    <row r="126" spans="2:34" ht="13.5" thickBot="1"/>
    <row r="127" spans="2:34" ht="12.75" customHeight="1">
      <c r="B127" s="571" t="s">
        <v>397</v>
      </c>
      <c r="C127" s="572"/>
      <c r="D127" s="572"/>
      <c r="E127" s="572"/>
      <c r="F127" s="572"/>
      <c r="G127" s="572"/>
      <c r="H127" s="572"/>
      <c r="I127" s="572"/>
      <c r="J127" s="572"/>
      <c r="K127" s="572"/>
      <c r="L127" s="572"/>
      <c r="M127" s="572"/>
      <c r="N127" s="572"/>
      <c r="O127" s="572"/>
      <c r="P127" s="572"/>
      <c r="Q127" s="572"/>
      <c r="R127" s="572"/>
      <c r="S127" s="572"/>
      <c r="T127" s="572"/>
      <c r="U127" s="572"/>
      <c r="V127" s="572"/>
      <c r="W127" s="572"/>
      <c r="X127" s="572"/>
      <c r="Y127" s="572"/>
      <c r="Z127" s="572"/>
      <c r="AA127" s="572"/>
      <c r="AB127" s="572"/>
      <c r="AC127" s="572"/>
      <c r="AD127" s="572"/>
      <c r="AE127" s="572"/>
      <c r="AF127" s="572"/>
      <c r="AG127" s="573"/>
    </row>
    <row r="128" spans="2:34" ht="13.5" customHeight="1" thickBot="1">
      <c r="B128" s="574"/>
      <c r="C128" s="575"/>
      <c r="D128" s="575"/>
      <c r="E128" s="575"/>
      <c r="F128" s="575"/>
      <c r="G128" s="575"/>
      <c r="H128" s="575"/>
      <c r="I128" s="575"/>
      <c r="J128" s="575"/>
      <c r="K128" s="575"/>
      <c r="L128" s="575"/>
      <c r="M128" s="575"/>
      <c r="N128" s="575"/>
      <c r="O128" s="575"/>
      <c r="P128" s="575"/>
      <c r="Q128" s="575"/>
      <c r="R128" s="575"/>
      <c r="S128" s="575"/>
      <c r="T128" s="575"/>
      <c r="U128" s="575"/>
      <c r="V128" s="575"/>
      <c r="W128" s="575"/>
      <c r="X128" s="575"/>
      <c r="Y128" s="575"/>
      <c r="Z128" s="575"/>
      <c r="AA128" s="575"/>
      <c r="AB128" s="575"/>
      <c r="AC128" s="575"/>
      <c r="AD128" s="575"/>
      <c r="AE128" s="575"/>
      <c r="AF128" s="575"/>
      <c r="AG128" s="576"/>
    </row>
    <row r="129" spans="2:33" ht="12.75" customHeight="1">
      <c r="B129" s="577" t="s">
        <v>398</v>
      </c>
      <c r="C129" s="578"/>
      <c r="D129" s="578"/>
      <c r="E129" s="578"/>
      <c r="F129" s="578"/>
      <c r="G129" s="578"/>
      <c r="H129" s="578"/>
      <c r="I129" s="578"/>
      <c r="J129" s="578"/>
      <c r="K129" s="578"/>
      <c r="L129" s="578"/>
      <c r="M129" s="578"/>
      <c r="N129" s="578"/>
      <c r="O129" s="578"/>
      <c r="P129" s="578"/>
      <c r="Q129" s="578"/>
      <c r="R129" s="578"/>
      <c r="S129" s="578"/>
      <c r="T129" s="578"/>
      <c r="U129" s="578"/>
      <c r="V129" s="578"/>
      <c r="W129" s="578"/>
      <c r="X129" s="578"/>
      <c r="Y129" s="578"/>
      <c r="Z129" s="578"/>
      <c r="AA129" s="578"/>
      <c r="AB129" s="578"/>
      <c r="AC129" s="578"/>
      <c r="AD129" s="578"/>
      <c r="AE129" s="578"/>
      <c r="AF129" s="578"/>
      <c r="AG129" s="579"/>
    </row>
    <row r="130" spans="2:33" ht="12.75" customHeight="1">
      <c r="B130" s="580"/>
      <c r="C130" s="581"/>
      <c r="D130" s="581"/>
      <c r="E130" s="581"/>
      <c r="F130" s="581"/>
      <c r="G130" s="581"/>
      <c r="H130" s="581"/>
      <c r="I130" s="581"/>
      <c r="J130" s="581"/>
      <c r="K130" s="581"/>
      <c r="L130" s="581"/>
      <c r="M130" s="581"/>
      <c r="N130" s="581"/>
      <c r="O130" s="581"/>
      <c r="P130" s="581"/>
      <c r="Q130" s="581"/>
      <c r="R130" s="581"/>
      <c r="S130" s="581"/>
      <c r="T130" s="581"/>
      <c r="U130" s="581"/>
      <c r="V130" s="581"/>
      <c r="W130" s="581"/>
      <c r="X130" s="581"/>
      <c r="Y130" s="581"/>
      <c r="Z130" s="581"/>
      <c r="AA130" s="581"/>
      <c r="AB130" s="581"/>
      <c r="AC130" s="581"/>
      <c r="AD130" s="581"/>
      <c r="AE130" s="581"/>
      <c r="AF130" s="581"/>
      <c r="AG130" s="582"/>
    </row>
    <row r="131" spans="2:33" ht="12.75" customHeight="1">
      <c r="B131" s="580"/>
      <c r="C131" s="581"/>
      <c r="D131" s="581"/>
      <c r="E131" s="581"/>
      <c r="F131" s="581"/>
      <c r="G131" s="581"/>
      <c r="H131" s="581"/>
      <c r="I131" s="581"/>
      <c r="J131" s="581"/>
      <c r="K131" s="581"/>
      <c r="L131" s="581"/>
      <c r="M131" s="581"/>
      <c r="N131" s="581"/>
      <c r="O131" s="581"/>
      <c r="P131" s="581"/>
      <c r="Q131" s="581"/>
      <c r="R131" s="581"/>
      <c r="S131" s="581"/>
      <c r="T131" s="581"/>
      <c r="U131" s="581"/>
      <c r="V131" s="581"/>
      <c r="W131" s="581"/>
      <c r="X131" s="581"/>
      <c r="Y131" s="581"/>
      <c r="Z131" s="581"/>
      <c r="AA131" s="581"/>
      <c r="AB131" s="581"/>
      <c r="AC131" s="581"/>
      <c r="AD131" s="581"/>
      <c r="AE131" s="581"/>
      <c r="AF131" s="581"/>
      <c r="AG131" s="582"/>
    </row>
    <row r="132" spans="2:33" ht="12.75" customHeight="1">
      <c r="B132" s="580"/>
      <c r="C132" s="581"/>
      <c r="D132" s="581"/>
      <c r="E132" s="581"/>
      <c r="F132" s="581"/>
      <c r="G132" s="581"/>
      <c r="H132" s="581"/>
      <c r="I132" s="581"/>
      <c r="J132" s="581"/>
      <c r="K132" s="581"/>
      <c r="L132" s="581"/>
      <c r="M132" s="581"/>
      <c r="N132" s="581"/>
      <c r="O132" s="581"/>
      <c r="P132" s="581"/>
      <c r="Q132" s="581"/>
      <c r="R132" s="581"/>
      <c r="S132" s="581"/>
      <c r="T132" s="581"/>
      <c r="U132" s="581"/>
      <c r="V132" s="581"/>
      <c r="W132" s="581"/>
      <c r="X132" s="581"/>
      <c r="Y132" s="581"/>
      <c r="Z132" s="581"/>
      <c r="AA132" s="581"/>
      <c r="AB132" s="581"/>
      <c r="AC132" s="581"/>
      <c r="AD132" s="581"/>
      <c r="AE132" s="581"/>
      <c r="AF132" s="581"/>
      <c r="AG132" s="582"/>
    </row>
    <row r="133" spans="2:33" ht="12.75" customHeight="1">
      <c r="B133" s="580"/>
      <c r="C133" s="581"/>
      <c r="D133" s="581"/>
      <c r="E133" s="581"/>
      <c r="F133" s="581"/>
      <c r="G133" s="581"/>
      <c r="H133" s="581"/>
      <c r="I133" s="581"/>
      <c r="J133" s="581"/>
      <c r="K133" s="581"/>
      <c r="L133" s="581"/>
      <c r="M133" s="581"/>
      <c r="N133" s="581"/>
      <c r="O133" s="581"/>
      <c r="P133" s="581"/>
      <c r="Q133" s="581"/>
      <c r="R133" s="581"/>
      <c r="S133" s="581"/>
      <c r="T133" s="581"/>
      <c r="U133" s="581"/>
      <c r="V133" s="581"/>
      <c r="W133" s="581"/>
      <c r="X133" s="581"/>
      <c r="Y133" s="581"/>
      <c r="Z133" s="581"/>
      <c r="AA133" s="581"/>
      <c r="AB133" s="581"/>
      <c r="AC133" s="581"/>
      <c r="AD133" s="581"/>
      <c r="AE133" s="581"/>
      <c r="AF133" s="581"/>
      <c r="AG133" s="582"/>
    </row>
    <row r="134" spans="2:33" ht="12.75" customHeight="1">
      <c r="B134" s="580"/>
      <c r="C134" s="581"/>
      <c r="D134" s="581"/>
      <c r="E134" s="581"/>
      <c r="F134" s="581"/>
      <c r="G134" s="581"/>
      <c r="H134" s="581"/>
      <c r="I134" s="581"/>
      <c r="J134" s="581"/>
      <c r="K134" s="581"/>
      <c r="L134" s="581"/>
      <c r="M134" s="581"/>
      <c r="N134" s="581"/>
      <c r="O134" s="581"/>
      <c r="P134" s="581"/>
      <c r="Q134" s="581"/>
      <c r="R134" s="581"/>
      <c r="S134" s="581"/>
      <c r="T134" s="581"/>
      <c r="U134" s="581"/>
      <c r="V134" s="581"/>
      <c r="W134" s="581"/>
      <c r="X134" s="581"/>
      <c r="Y134" s="581"/>
      <c r="Z134" s="581"/>
      <c r="AA134" s="581"/>
      <c r="AB134" s="581"/>
      <c r="AC134" s="581"/>
      <c r="AD134" s="581"/>
      <c r="AE134" s="581"/>
      <c r="AF134" s="581"/>
      <c r="AG134" s="582"/>
    </row>
    <row r="135" spans="2:33" ht="12.75" customHeight="1">
      <c r="B135" s="580"/>
      <c r="C135" s="581"/>
      <c r="D135" s="581"/>
      <c r="E135" s="581"/>
      <c r="F135" s="581"/>
      <c r="G135" s="581"/>
      <c r="H135" s="581"/>
      <c r="I135" s="581"/>
      <c r="J135" s="581"/>
      <c r="K135" s="581"/>
      <c r="L135" s="581"/>
      <c r="M135" s="581"/>
      <c r="N135" s="581"/>
      <c r="O135" s="581"/>
      <c r="P135" s="581"/>
      <c r="Q135" s="581"/>
      <c r="R135" s="581"/>
      <c r="S135" s="581"/>
      <c r="T135" s="581"/>
      <c r="U135" s="581"/>
      <c r="V135" s="581"/>
      <c r="W135" s="581"/>
      <c r="X135" s="581"/>
      <c r="Y135" s="581"/>
      <c r="Z135" s="581"/>
      <c r="AA135" s="581"/>
      <c r="AB135" s="581"/>
      <c r="AC135" s="581"/>
      <c r="AD135" s="581"/>
      <c r="AE135" s="581"/>
      <c r="AF135" s="581"/>
      <c r="AG135" s="582"/>
    </row>
    <row r="136" spans="2:33" ht="12.75" customHeight="1">
      <c r="B136" s="580"/>
      <c r="C136" s="581"/>
      <c r="D136" s="581"/>
      <c r="E136" s="581"/>
      <c r="F136" s="581"/>
      <c r="G136" s="581"/>
      <c r="H136" s="581"/>
      <c r="I136" s="581"/>
      <c r="J136" s="581"/>
      <c r="K136" s="581"/>
      <c r="L136" s="581"/>
      <c r="M136" s="581"/>
      <c r="N136" s="581"/>
      <c r="O136" s="581"/>
      <c r="P136" s="581"/>
      <c r="Q136" s="581"/>
      <c r="R136" s="581"/>
      <c r="S136" s="581"/>
      <c r="T136" s="581"/>
      <c r="U136" s="581"/>
      <c r="V136" s="581"/>
      <c r="W136" s="581"/>
      <c r="X136" s="581"/>
      <c r="Y136" s="581"/>
      <c r="Z136" s="581"/>
      <c r="AA136" s="581"/>
      <c r="AB136" s="581"/>
      <c r="AC136" s="581"/>
      <c r="AD136" s="581"/>
      <c r="AE136" s="581"/>
      <c r="AF136" s="581"/>
      <c r="AG136" s="582"/>
    </row>
    <row r="137" spans="2:33" ht="13.5" customHeight="1" thickBot="1">
      <c r="B137" s="583"/>
      <c r="C137" s="584"/>
      <c r="D137" s="584"/>
      <c r="E137" s="584"/>
      <c r="F137" s="584"/>
      <c r="G137" s="584"/>
      <c r="H137" s="584"/>
      <c r="I137" s="584"/>
      <c r="J137" s="584"/>
      <c r="K137" s="584"/>
      <c r="L137" s="584"/>
      <c r="M137" s="584"/>
      <c r="N137" s="584"/>
      <c r="O137" s="584"/>
      <c r="P137" s="584"/>
      <c r="Q137" s="584"/>
      <c r="R137" s="584"/>
      <c r="S137" s="584"/>
      <c r="T137" s="584"/>
      <c r="U137" s="584"/>
      <c r="V137" s="584"/>
      <c r="W137" s="584"/>
      <c r="X137" s="584"/>
      <c r="Y137" s="584"/>
      <c r="Z137" s="584"/>
      <c r="AA137" s="584"/>
      <c r="AB137" s="584"/>
      <c r="AC137" s="584"/>
      <c r="AD137" s="584"/>
      <c r="AE137" s="584"/>
      <c r="AF137" s="584"/>
      <c r="AG137" s="585"/>
    </row>
    <row r="139" spans="2:33" ht="13.5" thickBot="1"/>
    <row r="140" spans="2:33" s="183" customFormat="1" ht="16.5" customHeight="1">
      <c r="B140" s="586" t="s">
        <v>380</v>
      </c>
      <c r="C140" s="587"/>
      <c r="D140" s="587"/>
      <c r="E140" s="565" t="s">
        <v>381</v>
      </c>
      <c r="F140" s="565"/>
      <c r="G140" s="565"/>
      <c r="H140" s="565"/>
      <c r="I140" s="565"/>
      <c r="J140" s="565"/>
      <c r="K140" s="565"/>
      <c r="L140" s="565"/>
      <c r="M140" s="565"/>
      <c r="N140" s="565"/>
      <c r="O140" s="565"/>
      <c r="P140" s="565"/>
      <c r="Q140" s="565"/>
      <c r="R140" s="565"/>
      <c r="S140" s="566"/>
    </row>
    <row r="141" spans="2:33" s="183" customFormat="1" ht="16.5" customHeight="1">
      <c r="B141" s="588"/>
      <c r="C141" s="589"/>
      <c r="D141" s="589"/>
      <c r="E141" s="567" t="s">
        <v>368</v>
      </c>
      <c r="F141" s="567"/>
      <c r="G141" s="567"/>
      <c r="H141" s="567" t="s">
        <v>369</v>
      </c>
      <c r="I141" s="567"/>
      <c r="J141" s="567"/>
      <c r="K141" s="567" t="s">
        <v>370</v>
      </c>
      <c r="L141" s="567"/>
      <c r="M141" s="567"/>
      <c r="N141" s="567" t="s">
        <v>371</v>
      </c>
      <c r="O141" s="567"/>
      <c r="P141" s="567"/>
      <c r="Q141" s="567" t="s">
        <v>372</v>
      </c>
      <c r="R141" s="567"/>
      <c r="S141" s="568"/>
    </row>
    <row r="142" spans="2:33" s="183" customFormat="1" ht="16.5" customHeight="1" thickBot="1">
      <c r="B142" s="590"/>
      <c r="C142" s="591"/>
      <c r="D142" s="591"/>
      <c r="E142" s="591" t="s">
        <v>19</v>
      </c>
      <c r="F142" s="591"/>
      <c r="G142" s="591"/>
      <c r="H142" s="569" t="s">
        <v>382</v>
      </c>
      <c r="I142" s="569"/>
      <c r="J142" s="569"/>
      <c r="K142" s="569" t="s">
        <v>383</v>
      </c>
      <c r="L142" s="569"/>
      <c r="M142" s="569"/>
      <c r="N142" s="569" t="s">
        <v>384</v>
      </c>
      <c r="O142" s="569"/>
      <c r="P142" s="569"/>
      <c r="Q142" s="569" t="s">
        <v>385</v>
      </c>
      <c r="R142" s="569"/>
      <c r="S142" s="570"/>
    </row>
    <row r="143" spans="2:33" s="183" customFormat="1" ht="35.25" customHeight="1">
      <c r="B143" s="553" t="s">
        <v>399</v>
      </c>
      <c r="C143" s="554"/>
      <c r="D143" s="554"/>
      <c r="E143" s="554"/>
      <c r="F143" s="554"/>
      <c r="G143" s="554"/>
      <c r="H143" s="554"/>
      <c r="I143" s="554"/>
      <c r="J143" s="554"/>
      <c r="K143" s="554"/>
      <c r="L143" s="554"/>
      <c r="M143" s="554"/>
      <c r="N143" s="554"/>
      <c r="O143" s="554"/>
      <c r="P143" s="554"/>
      <c r="Q143" s="554"/>
      <c r="R143" s="554"/>
      <c r="S143" s="555"/>
    </row>
    <row r="144" spans="2:33" ht="12.75" customHeight="1">
      <c r="H144" s="233"/>
      <c r="I144" s="233"/>
      <c r="J144" s="233"/>
      <c r="K144" s="233"/>
      <c r="L144" s="233"/>
      <c r="M144" s="233"/>
      <c r="N144" s="233"/>
      <c r="O144" s="233"/>
      <c r="P144" s="233"/>
      <c r="Q144" s="233"/>
      <c r="R144" s="233"/>
    </row>
    <row r="145" spans="1:21" ht="13.5" thickBot="1"/>
    <row r="146" spans="1:21" s="183" customFormat="1" ht="16.5" customHeight="1">
      <c r="B146" s="556" t="s">
        <v>380</v>
      </c>
      <c r="C146" s="557"/>
      <c r="D146" s="558"/>
      <c r="E146" s="565" t="s">
        <v>386</v>
      </c>
      <c r="F146" s="565"/>
      <c r="G146" s="565"/>
      <c r="H146" s="565"/>
      <c r="I146" s="565"/>
      <c r="J146" s="565"/>
      <c r="K146" s="565"/>
      <c r="L146" s="565"/>
      <c r="M146" s="565"/>
      <c r="N146" s="565"/>
      <c r="O146" s="565"/>
      <c r="P146" s="565"/>
      <c r="Q146" s="565"/>
      <c r="R146" s="565"/>
      <c r="S146" s="566"/>
    </row>
    <row r="147" spans="1:21" s="183" customFormat="1" ht="16.5" customHeight="1">
      <c r="B147" s="559"/>
      <c r="C147" s="560"/>
      <c r="D147" s="561"/>
      <c r="E147" s="567" t="s">
        <v>368</v>
      </c>
      <c r="F147" s="567"/>
      <c r="G147" s="567"/>
      <c r="H147" s="567" t="s">
        <v>369</v>
      </c>
      <c r="I147" s="567"/>
      <c r="J147" s="567"/>
      <c r="K147" s="567" t="s">
        <v>370</v>
      </c>
      <c r="L147" s="567"/>
      <c r="M147" s="567"/>
      <c r="N147" s="567" t="s">
        <v>371</v>
      </c>
      <c r="O147" s="567"/>
      <c r="P147" s="567"/>
      <c r="Q147" s="567" t="s">
        <v>372</v>
      </c>
      <c r="R147" s="567"/>
      <c r="S147" s="568"/>
    </row>
    <row r="148" spans="1:21" s="183" customFormat="1" ht="16.5" customHeight="1">
      <c r="B148" s="559"/>
      <c r="C148" s="560"/>
      <c r="D148" s="561"/>
      <c r="E148" s="567" t="s">
        <v>387</v>
      </c>
      <c r="F148" s="567"/>
      <c r="G148" s="567"/>
      <c r="H148" s="567" t="s">
        <v>388</v>
      </c>
      <c r="I148" s="567"/>
      <c r="J148" s="567"/>
      <c r="K148" s="567" t="s">
        <v>389</v>
      </c>
      <c r="L148" s="567"/>
      <c r="M148" s="567"/>
      <c r="N148" s="567" t="s">
        <v>390</v>
      </c>
      <c r="O148" s="567"/>
      <c r="P148" s="567"/>
      <c r="Q148" s="567" t="s">
        <v>391</v>
      </c>
      <c r="R148" s="567"/>
      <c r="S148" s="568"/>
    </row>
    <row r="149" spans="1:21" ht="12.75" customHeight="1">
      <c r="B149" s="559"/>
      <c r="C149" s="560"/>
      <c r="D149" s="561"/>
      <c r="E149" s="567"/>
      <c r="F149" s="567"/>
      <c r="G149" s="567"/>
      <c r="H149" s="567"/>
      <c r="I149" s="567"/>
      <c r="J149" s="567"/>
      <c r="K149" s="567"/>
      <c r="L149" s="567"/>
      <c r="M149" s="567"/>
      <c r="N149" s="567"/>
      <c r="O149" s="567"/>
      <c r="P149" s="567"/>
      <c r="Q149" s="567"/>
      <c r="R149" s="567"/>
      <c r="S149" s="568"/>
    </row>
    <row r="150" spans="1:21" ht="12.75" customHeight="1">
      <c r="B150" s="559"/>
      <c r="C150" s="560"/>
      <c r="D150" s="561"/>
      <c r="E150" s="567"/>
      <c r="F150" s="567"/>
      <c r="G150" s="567"/>
      <c r="H150" s="567"/>
      <c r="I150" s="567"/>
      <c r="J150" s="567"/>
      <c r="K150" s="567"/>
      <c r="L150" s="567"/>
      <c r="M150" s="567"/>
      <c r="N150" s="567"/>
      <c r="O150" s="567"/>
      <c r="P150" s="567"/>
      <c r="Q150" s="567"/>
      <c r="R150" s="567"/>
      <c r="S150" s="568"/>
    </row>
    <row r="151" spans="1:21" ht="12.75" customHeight="1">
      <c r="B151" s="559"/>
      <c r="C151" s="560"/>
      <c r="D151" s="561"/>
      <c r="E151" s="567"/>
      <c r="F151" s="567"/>
      <c r="G151" s="567"/>
      <c r="H151" s="567"/>
      <c r="I151" s="567"/>
      <c r="J151" s="567"/>
      <c r="K151" s="567"/>
      <c r="L151" s="567"/>
      <c r="M151" s="567"/>
      <c r="N151" s="567"/>
      <c r="O151" s="567"/>
      <c r="P151" s="567"/>
      <c r="Q151" s="567"/>
      <c r="R151" s="567"/>
      <c r="S151" s="568"/>
    </row>
    <row r="152" spans="1:21" ht="12.75" customHeight="1">
      <c r="B152" s="559"/>
      <c r="C152" s="560"/>
      <c r="D152" s="561"/>
      <c r="E152" s="567"/>
      <c r="F152" s="567"/>
      <c r="G152" s="567"/>
      <c r="H152" s="567"/>
      <c r="I152" s="567"/>
      <c r="J152" s="567"/>
      <c r="K152" s="567"/>
      <c r="L152" s="567"/>
      <c r="M152" s="567"/>
      <c r="N152" s="567"/>
      <c r="O152" s="567"/>
      <c r="P152" s="567"/>
      <c r="Q152" s="567"/>
      <c r="R152" s="567"/>
      <c r="S152" s="568"/>
    </row>
    <row r="153" spans="1:21" ht="12.75" customHeight="1">
      <c r="B153" s="559"/>
      <c r="C153" s="560"/>
      <c r="D153" s="561"/>
      <c r="E153" s="567"/>
      <c r="F153" s="567"/>
      <c r="G153" s="567"/>
      <c r="H153" s="567"/>
      <c r="I153" s="567"/>
      <c r="J153" s="567"/>
      <c r="K153" s="567"/>
      <c r="L153" s="567"/>
      <c r="M153" s="567"/>
      <c r="N153" s="567"/>
      <c r="O153" s="567"/>
      <c r="P153" s="567"/>
      <c r="Q153" s="567"/>
      <c r="R153" s="567"/>
      <c r="S153" s="568"/>
    </row>
    <row r="154" spans="1:21" ht="15.75" customHeight="1" thickBot="1">
      <c r="B154" s="562"/>
      <c r="C154" s="563"/>
      <c r="D154" s="564"/>
      <c r="E154" s="569"/>
      <c r="F154" s="569"/>
      <c r="G154" s="569"/>
      <c r="H154" s="569"/>
      <c r="I154" s="569"/>
      <c r="J154" s="569"/>
      <c r="K154" s="569"/>
      <c r="L154" s="569"/>
      <c r="M154" s="569"/>
      <c r="N154" s="569"/>
      <c r="O154" s="569"/>
      <c r="P154" s="569"/>
      <c r="Q154" s="569"/>
      <c r="R154" s="569"/>
      <c r="S154" s="570"/>
    </row>
    <row r="155" spans="1:21" ht="13.5" thickBot="1"/>
    <row r="156" spans="1:21" s="183" customFormat="1" ht="75" customHeight="1" thickBot="1">
      <c r="A156" s="234"/>
      <c r="B156" s="542" t="s">
        <v>400</v>
      </c>
      <c r="C156" s="543"/>
      <c r="D156" s="543"/>
      <c r="E156" s="543"/>
      <c r="F156" s="543"/>
      <c r="G156" s="543"/>
      <c r="H156" s="543"/>
      <c r="I156" s="543"/>
      <c r="J156" s="543"/>
      <c r="K156" s="543"/>
      <c r="L156" s="543"/>
      <c r="M156" s="543"/>
      <c r="N156" s="543"/>
      <c r="O156" s="543"/>
      <c r="P156" s="543"/>
      <c r="Q156" s="543"/>
      <c r="R156" s="543"/>
      <c r="S156" s="544"/>
    </row>
    <row r="158" spans="1:21" ht="33" customHeight="1">
      <c r="B158" s="545" t="s">
        <v>401</v>
      </c>
      <c r="C158" s="546"/>
      <c r="D158" s="546"/>
      <c r="E158" s="546"/>
      <c r="F158" s="546"/>
      <c r="G158" s="546"/>
      <c r="H158" s="547"/>
      <c r="I158" s="548" t="s">
        <v>402</v>
      </c>
      <c r="J158" s="549"/>
      <c r="K158" s="549"/>
      <c r="L158" s="549"/>
      <c r="M158" s="545" t="s">
        <v>403</v>
      </c>
      <c r="N158" s="546"/>
      <c r="O158" s="546"/>
      <c r="P158" s="546"/>
      <c r="Q158" s="546"/>
      <c r="R158" s="547"/>
      <c r="S158" s="550" t="s">
        <v>404</v>
      </c>
      <c r="T158" s="551"/>
      <c r="U158" s="552"/>
    </row>
    <row r="159" spans="1:21" ht="18">
      <c r="A159" s="538" t="s">
        <v>405</v>
      </c>
      <c r="B159" s="526" t="s">
        <v>406</v>
      </c>
      <c r="C159" s="527"/>
      <c r="D159" s="527"/>
      <c r="E159" s="527"/>
      <c r="F159" s="527"/>
      <c r="G159" s="527"/>
      <c r="H159" s="528"/>
      <c r="I159" s="529" t="s">
        <v>407</v>
      </c>
      <c r="J159" s="529"/>
      <c r="K159" s="529"/>
      <c r="L159" s="529"/>
      <c r="M159" s="530" t="s">
        <v>389</v>
      </c>
      <c r="N159" s="531"/>
      <c r="O159" s="531"/>
      <c r="P159" s="531"/>
      <c r="Q159" s="531"/>
      <c r="R159" s="532"/>
      <c r="S159" s="529"/>
      <c r="T159" s="529"/>
      <c r="U159" s="529"/>
    </row>
    <row r="160" spans="1:21" ht="18">
      <c r="A160" s="538"/>
      <c r="B160" s="526" t="s">
        <v>408</v>
      </c>
      <c r="C160" s="527"/>
      <c r="D160" s="527"/>
      <c r="E160" s="527"/>
      <c r="F160" s="527"/>
      <c r="G160" s="527"/>
      <c r="H160" s="528"/>
      <c r="I160" s="529" t="s">
        <v>409</v>
      </c>
      <c r="J160" s="529"/>
      <c r="K160" s="529"/>
      <c r="L160" s="529"/>
      <c r="M160" s="530" t="s">
        <v>391</v>
      </c>
      <c r="N160" s="531"/>
      <c r="O160" s="531"/>
      <c r="P160" s="531"/>
      <c r="Q160" s="531"/>
      <c r="R160" s="532"/>
      <c r="S160" s="529"/>
      <c r="T160" s="529"/>
      <c r="U160" s="529"/>
    </row>
    <row r="161" spans="1:21" ht="18">
      <c r="A161" s="538"/>
      <c r="B161" s="526" t="s">
        <v>410</v>
      </c>
      <c r="C161" s="527"/>
      <c r="D161" s="527"/>
      <c r="E161" s="527"/>
      <c r="F161" s="527"/>
      <c r="G161" s="527"/>
      <c r="H161" s="528"/>
      <c r="I161" s="529" t="s">
        <v>409</v>
      </c>
      <c r="J161" s="529"/>
      <c r="K161" s="529"/>
      <c r="L161" s="529"/>
      <c r="M161" s="530" t="s">
        <v>391</v>
      </c>
      <c r="N161" s="531"/>
      <c r="O161" s="531"/>
      <c r="P161" s="531"/>
      <c r="Q161" s="531"/>
      <c r="R161" s="532"/>
      <c r="S161" s="529"/>
      <c r="T161" s="529"/>
      <c r="U161" s="529"/>
    </row>
    <row r="162" spans="1:21" ht="18">
      <c r="A162" s="538"/>
      <c r="B162" s="526" t="s">
        <v>411</v>
      </c>
      <c r="C162" s="527"/>
      <c r="D162" s="527"/>
      <c r="E162" s="527"/>
      <c r="F162" s="527"/>
      <c r="G162" s="527"/>
      <c r="H162" s="528"/>
      <c r="I162" s="529" t="s">
        <v>407</v>
      </c>
      <c r="J162" s="529"/>
      <c r="K162" s="529"/>
      <c r="L162" s="529"/>
      <c r="M162" s="530" t="s">
        <v>391</v>
      </c>
      <c r="N162" s="531"/>
      <c r="O162" s="531"/>
      <c r="P162" s="531"/>
      <c r="Q162" s="531"/>
      <c r="R162" s="532"/>
      <c r="S162" s="529"/>
      <c r="T162" s="529"/>
      <c r="U162" s="529"/>
    </row>
    <row r="163" spans="1:21" ht="18">
      <c r="A163" s="538"/>
      <c r="B163" s="526" t="s">
        <v>412</v>
      </c>
      <c r="C163" s="527"/>
      <c r="D163" s="527"/>
      <c r="E163" s="527"/>
      <c r="F163" s="527"/>
      <c r="G163" s="527"/>
      <c r="H163" s="528"/>
      <c r="I163" s="529" t="s">
        <v>409</v>
      </c>
      <c r="J163" s="529"/>
      <c r="K163" s="529"/>
      <c r="L163" s="529"/>
      <c r="M163" s="530" t="s">
        <v>391</v>
      </c>
      <c r="N163" s="531"/>
      <c r="O163" s="531"/>
      <c r="P163" s="531"/>
      <c r="Q163" s="531"/>
      <c r="R163" s="532"/>
      <c r="S163" s="529"/>
      <c r="T163" s="529"/>
      <c r="U163" s="529"/>
    </row>
    <row r="164" spans="1:21" ht="18">
      <c r="A164" s="538"/>
      <c r="B164" s="526" t="s">
        <v>413</v>
      </c>
      <c r="C164" s="527"/>
      <c r="D164" s="527"/>
      <c r="E164" s="527"/>
      <c r="F164" s="527"/>
      <c r="G164" s="527"/>
      <c r="H164" s="528"/>
      <c r="I164" s="529" t="s">
        <v>414</v>
      </c>
      <c r="J164" s="529"/>
      <c r="K164" s="529"/>
      <c r="L164" s="529"/>
      <c r="M164" s="530" t="s">
        <v>391</v>
      </c>
      <c r="N164" s="531"/>
      <c r="O164" s="531"/>
      <c r="P164" s="531"/>
      <c r="Q164" s="531"/>
      <c r="R164" s="532"/>
      <c r="S164" s="529"/>
      <c r="T164" s="529"/>
      <c r="U164" s="529"/>
    </row>
    <row r="165" spans="1:21" ht="18">
      <c r="A165" s="538"/>
      <c r="B165" s="526" t="s">
        <v>415</v>
      </c>
      <c r="C165" s="527"/>
      <c r="D165" s="527"/>
      <c r="E165" s="527"/>
      <c r="F165" s="527"/>
      <c r="G165" s="527"/>
      <c r="H165" s="528"/>
      <c r="I165" s="529" t="s">
        <v>407</v>
      </c>
      <c r="J165" s="529"/>
      <c r="K165" s="529"/>
      <c r="L165" s="529"/>
      <c r="M165" s="530" t="s">
        <v>391</v>
      </c>
      <c r="N165" s="531"/>
      <c r="O165" s="531"/>
      <c r="P165" s="531"/>
      <c r="Q165" s="531"/>
      <c r="R165" s="532"/>
      <c r="S165" s="529"/>
      <c r="T165" s="529"/>
      <c r="U165" s="529"/>
    </row>
    <row r="166" spans="1:21" ht="18">
      <c r="A166" s="538" t="s">
        <v>416</v>
      </c>
      <c r="B166" s="526" t="s">
        <v>417</v>
      </c>
      <c r="C166" s="527"/>
      <c r="D166" s="527"/>
      <c r="E166" s="527"/>
      <c r="F166" s="527"/>
      <c r="G166" s="527"/>
      <c r="H166" s="528"/>
      <c r="I166" s="529" t="s">
        <v>407</v>
      </c>
      <c r="J166" s="529"/>
      <c r="K166" s="529"/>
      <c r="L166" s="529"/>
      <c r="M166" s="530" t="s">
        <v>389</v>
      </c>
      <c r="N166" s="531"/>
      <c r="O166" s="531"/>
      <c r="P166" s="531"/>
      <c r="Q166" s="531"/>
      <c r="R166" s="532"/>
      <c r="S166" s="529" t="s">
        <v>370</v>
      </c>
      <c r="T166" s="529"/>
      <c r="U166" s="529"/>
    </row>
    <row r="167" spans="1:21" ht="18">
      <c r="A167" s="538"/>
      <c r="B167" s="526" t="s">
        <v>418</v>
      </c>
      <c r="C167" s="527"/>
      <c r="D167" s="527"/>
      <c r="E167" s="527"/>
      <c r="F167" s="527"/>
      <c r="G167" s="527"/>
      <c r="H167" s="528"/>
      <c r="I167" s="529" t="s">
        <v>414</v>
      </c>
      <c r="J167" s="529"/>
      <c r="K167" s="529"/>
      <c r="L167" s="529"/>
      <c r="M167" s="530" t="s">
        <v>390</v>
      </c>
      <c r="N167" s="531"/>
      <c r="O167" s="531"/>
      <c r="P167" s="531"/>
      <c r="Q167" s="531"/>
      <c r="R167" s="532"/>
      <c r="S167" s="529" t="s">
        <v>371</v>
      </c>
      <c r="T167" s="529"/>
      <c r="U167" s="529"/>
    </row>
    <row r="168" spans="1:21" ht="37.5" customHeight="1">
      <c r="A168" s="538" t="s">
        <v>419</v>
      </c>
      <c r="B168" s="539" t="s">
        <v>420</v>
      </c>
      <c r="C168" s="540"/>
      <c r="D168" s="540"/>
      <c r="E168" s="540"/>
      <c r="F168" s="540"/>
      <c r="G168" s="540"/>
      <c r="H168" s="541"/>
      <c r="I168" s="529" t="s">
        <v>368</v>
      </c>
      <c r="J168" s="529"/>
      <c r="K168" s="529"/>
      <c r="L168" s="529"/>
      <c r="M168" s="530"/>
      <c r="N168" s="531"/>
      <c r="O168" s="531"/>
      <c r="P168" s="531"/>
      <c r="Q168" s="531"/>
      <c r="R168" s="532"/>
      <c r="S168" s="529"/>
      <c r="T168" s="529"/>
      <c r="U168" s="529"/>
    </row>
    <row r="169" spans="1:21" ht="18">
      <c r="A169" s="538"/>
      <c r="B169" s="526" t="s">
        <v>421</v>
      </c>
      <c r="C169" s="527"/>
      <c r="D169" s="527"/>
      <c r="E169" s="527"/>
      <c r="F169" s="527"/>
      <c r="G169" s="527"/>
      <c r="H169" s="528"/>
      <c r="I169" s="529" t="s">
        <v>407</v>
      </c>
      <c r="J169" s="529"/>
      <c r="K169" s="529"/>
      <c r="L169" s="529"/>
      <c r="M169" s="530" t="s">
        <v>390</v>
      </c>
      <c r="N169" s="531"/>
      <c r="O169" s="531"/>
      <c r="P169" s="531"/>
      <c r="Q169" s="531"/>
      <c r="R169" s="532"/>
      <c r="S169" s="529"/>
      <c r="T169" s="529"/>
      <c r="U169" s="529"/>
    </row>
    <row r="170" spans="1:21" ht="18">
      <c r="A170" s="538"/>
      <c r="B170" s="526" t="s">
        <v>422</v>
      </c>
      <c r="C170" s="527"/>
      <c r="D170" s="527"/>
      <c r="E170" s="527"/>
      <c r="F170" s="527"/>
      <c r="G170" s="527"/>
      <c r="H170" s="528"/>
      <c r="I170" s="529" t="s">
        <v>407</v>
      </c>
      <c r="J170" s="529"/>
      <c r="K170" s="529"/>
      <c r="L170" s="529"/>
      <c r="M170" s="530" t="s">
        <v>390</v>
      </c>
      <c r="N170" s="531"/>
      <c r="O170" s="531"/>
      <c r="P170" s="531"/>
      <c r="Q170" s="531"/>
      <c r="R170" s="532"/>
      <c r="S170" s="534" t="s">
        <v>371</v>
      </c>
      <c r="T170" s="534"/>
      <c r="U170" s="534"/>
    </row>
    <row r="171" spans="1:21" ht="18">
      <c r="A171" s="538"/>
      <c r="B171" s="526" t="s">
        <v>423</v>
      </c>
      <c r="C171" s="527"/>
      <c r="D171" s="527"/>
      <c r="E171" s="527"/>
      <c r="F171" s="527"/>
      <c r="G171" s="527"/>
      <c r="H171" s="528"/>
      <c r="I171" s="529" t="s">
        <v>407</v>
      </c>
      <c r="J171" s="529"/>
      <c r="K171" s="529"/>
      <c r="L171" s="529"/>
      <c r="M171" s="530" t="s">
        <v>390</v>
      </c>
      <c r="N171" s="531"/>
      <c r="O171" s="531"/>
      <c r="P171" s="531"/>
      <c r="Q171" s="531"/>
      <c r="R171" s="532"/>
      <c r="S171" s="529"/>
      <c r="T171" s="529"/>
      <c r="U171" s="529"/>
    </row>
    <row r="172" spans="1:21" ht="18">
      <c r="A172" s="538"/>
      <c r="B172" s="526" t="s">
        <v>424</v>
      </c>
      <c r="C172" s="527"/>
      <c r="D172" s="527"/>
      <c r="E172" s="527"/>
      <c r="F172" s="527"/>
      <c r="G172" s="527"/>
      <c r="H172" s="528"/>
      <c r="I172" s="529" t="s">
        <v>414</v>
      </c>
      <c r="J172" s="529"/>
      <c r="K172" s="529"/>
      <c r="L172" s="529"/>
      <c r="M172" s="530" t="s">
        <v>390</v>
      </c>
      <c r="N172" s="531"/>
      <c r="O172" s="531"/>
      <c r="P172" s="531"/>
      <c r="Q172" s="531"/>
      <c r="R172" s="532"/>
      <c r="S172" s="529"/>
      <c r="T172" s="529"/>
      <c r="U172" s="529"/>
    </row>
    <row r="173" spans="1:21" ht="18">
      <c r="A173" s="538" t="s">
        <v>425</v>
      </c>
      <c r="B173" s="526" t="s">
        <v>426</v>
      </c>
      <c r="C173" s="527"/>
      <c r="D173" s="527"/>
      <c r="E173" s="527"/>
      <c r="F173" s="527"/>
      <c r="G173" s="527"/>
      <c r="H173" s="528"/>
      <c r="I173" s="529" t="s">
        <v>427</v>
      </c>
      <c r="J173" s="529"/>
      <c r="K173" s="529"/>
      <c r="L173" s="529"/>
      <c r="M173" s="530" t="s">
        <v>388</v>
      </c>
      <c r="N173" s="531"/>
      <c r="O173" s="531"/>
      <c r="P173" s="531"/>
      <c r="Q173" s="531"/>
      <c r="R173" s="532"/>
      <c r="S173" s="529"/>
      <c r="T173" s="529"/>
      <c r="U173" s="529"/>
    </row>
    <row r="174" spans="1:21" ht="18">
      <c r="A174" s="538"/>
      <c r="B174" s="526" t="s">
        <v>428</v>
      </c>
      <c r="C174" s="527"/>
      <c r="D174" s="527"/>
      <c r="E174" s="527"/>
      <c r="F174" s="527"/>
      <c r="G174" s="527"/>
      <c r="H174" s="528"/>
      <c r="I174" s="529" t="s">
        <v>407</v>
      </c>
      <c r="J174" s="529"/>
      <c r="K174" s="529"/>
      <c r="L174" s="529"/>
      <c r="M174" s="530" t="s">
        <v>389</v>
      </c>
      <c r="N174" s="531"/>
      <c r="O174" s="531"/>
      <c r="P174" s="531"/>
      <c r="Q174" s="531"/>
      <c r="R174" s="532"/>
      <c r="S174" s="529"/>
      <c r="T174" s="529"/>
      <c r="U174" s="529"/>
    </row>
    <row r="175" spans="1:21" ht="18">
      <c r="A175" s="538"/>
      <c r="B175" s="526" t="s">
        <v>429</v>
      </c>
      <c r="C175" s="527"/>
      <c r="D175" s="527"/>
      <c r="E175" s="527"/>
      <c r="F175" s="527"/>
      <c r="G175" s="527"/>
      <c r="H175" s="528"/>
      <c r="I175" s="529" t="s">
        <v>414</v>
      </c>
      <c r="J175" s="529"/>
      <c r="K175" s="529"/>
      <c r="L175" s="529"/>
      <c r="M175" s="530" t="s">
        <v>389</v>
      </c>
      <c r="N175" s="531"/>
      <c r="O175" s="531"/>
      <c r="P175" s="531"/>
      <c r="Q175" s="531"/>
      <c r="R175" s="532"/>
      <c r="S175" s="529"/>
      <c r="T175" s="529"/>
      <c r="U175" s="529"/>
    </row>
    <row r="176" spans="1:21" ht="18">
      <c r="A176" s="538"/>
      <c r="B176" s="526" t="s">
        <v>430</v>
      </c>
      <c r="C176" s="527"/>
      <c r="D176" s="527"/>
      <c r="E176" s="527"/>
      <c r="F176" s="527"/>
      <c r="G176" s="527"/>
      <c r="H176" s="528"/>
      <c r="I176" s="529" t="s">
        <v>427</v>
      </c>
      <c r="J176" s="529"/>
      <c r="K176" s="529"/>
      <c r="L176" s="529"/>
      <c r="M176" s="530" t="s">
        <v>389</v>
      </c>
      <c r="N176" s="531"/>
      <c r="O176" s="531"/>
      <c r="P176" s="531"/>
      <c r="Q176" s="531"/>
      <c r="R176" s="532"/>
      <c r="S176" s="529"/>
      <c r="T176" s="529"/>
      <c r="U176" s="529"/>
    </row>
    <row r="177" spans="1:21" ht="18">
      <c r="A177" s="538"/>
      <c r="B177" s="526" t="s">
        <v>431</v>
      </c>
      <c r="C177" s="527"/>
      <c r="D177" s="527"/>
      <c r="E177" s="527"/>
      <c r="F177" s="527"/>
      <c r="G177" s="527"/>
      <c r="H177" s="528"/>
      <c r="I177" s="529" t="s">
        <v>407</v>
      </c>
      <c r="J177" s="529"/>
      <c r="K177" s="529"/>
      <c r="L177" s="529"/>
      <c r="M177" s="530" t="s">
        <v>389</v>
      </c>
      <c r="N177" s="531"/>
      <c r="O177" s="531"/>
      <c r="P177" s="531"/>
      <c r="Q177" s="531"/>
      <c r="R177" s="532"/>
      <c r="S177" s="529"/>
      <c r="T177" s="529"/>
      <c r="U177" s="529"/>
    </row>
    <row r="178" spans="1:21" ht="18">
      <c r="A178" s="538"/>
      <c r="B178" s="526" t="s">
        <v>432</v>
      </c>
      <c r="C178" s="527"/>
      <c r="D178" s="527"/>
      <c r="E178" s="527"/>
      <c r="F178" s="527"/>
      <c r="G178" s="527"/>
      <c r="H178" s="528"/>
      <c r="I178" s="529" t="s">
        <v>407</v>
      </c>
      <c r="J178" s="529"/>
      <c r="K178" s="529"/>
      <c r="L178" s="529"/>
      <c r="M178" s="530" t="s">
        <v>388</v>
      </c>
      <c r="N178" s="531"/>
      <c r="O178" s="531"/>
      <c r="P178" s="531"/>
      <c r="Q178" s="531"/>
      <c r="R178" s="532"/>
      <c r="S178" s="529"/>
      <c r="T178" s="529"/>
      <c r="U178" s="529"/>
    </row>
    <row r="179" spans="1:21" ht="18">
      <c r="A179" s="538"/>
      <c r="B179" s="526" t="s">
        <v>433</v>
      </c>
      <c r="C179" s="527"/>
      <c r="D179" s="527"/>
      <c r="E179" s="527"/>
      <c r="F179" s="527"/>
      <c r="G179" s="527"/>
      <c r="H179" s="528"/>
      <c r="I179" s="529" t="s">
        <v>407</v>
      </c>
      <c r="J179" s="529"/>
      <c r="K179" s="529"/>
      <c r="L179" s="529"/>
      <c r="M179" s="530" t="s">
        <v>390</v>
      </c>
      <c r="N179" s="531"/>
      <c r="O179" s="531"/>
      <c r="P179" s="531"/>
      <c r="Q179" s="531"/>
      <c r="R179" s="532"/>
      <c r="S179" s="529"/>
      <c r="T179" s="529"/>
      <c r="U179" s="529"/>
    </row>
    <row r="180" spans="1:21" ht="18">
      <c r="A180" s="538"/>
      <c r="B180" s="526" t="s">
        <v>434</v>
      </c>
      <c r="C180" s="527"/>
      <c r="D180" s="527"/>
      <c r="E180" s="527"/>
      <c r="F180" s="527"/>
      <c r="G180" s="527"/>
      <c r="H180" s="528"/>
      <c r="I180" s="529" t="s">
        <v>409</v>
      </c>
      <c r="J180" s="529"/>
      <c r="K180" s="529"/>
      <c r="L180" s="529"/>
      <c r="M180" s="530" t="s">
        <v>390</v>
      </c>
      <c r="N180" s="531"/>
      <c r="O180" s="531"/>
      <c r="P180" s="531"/>
      <c r="Q180" s="531"/>
      <c r="R180" s="532"/>
      <c r="S180" s="529"/>
      <c r="T180" s="529"/>
      <c r="U180" s="529"/>
    </row>
    <row r="181" spans="1:21" ht="18">
      <c r="A181" s="533" t="s">
        <v>435</v>
      </c>
      <c r="B181" s="526" t="s">
        <v>436</v>
      </c>
      <c r="C181" s="527"/>
      <c r="D181" s="527"/>
      <c r="E181" s="527"/>
      <c r="F181" s="527"/>
      <c r="G181" s="527"/>
      <c r="H181" s="528"/>
      <c r="I181" s="529" t="s">
        <v>407</v>
      </c>
      <c r="J181" s="529"/>
      <c r="K181" s="529"/>
      <c r="L181" s="529"/>
      <c r="M181" s="530" t="s">
        <v>391</v>
      </c>
      <c r="N181" s="531"/>
      <c r="O181" s="531"/>
      <c r="P181" s="531"/>
      <c r="Q181" s="531"/>
      <c r="R181" s="532"/>
      <c r="S181" s="534" t="s">
        <v>372</v>
      </c>
      <c r="T181" s="534"/>
      <c r="U181" s="534"/>
    </row>
    <row r="182" spans="1:21" ht="39" customHeight="1">
      <c r="A182" s="533"/>
      <c r="B182" s="535" t="s">
        <v>437</v>
      </c>
      <c r="C182" s="536"/>
      <c r="D182" s="536"/>
      <c r="E182" s="536"/>
      <c r="F182" s="536"/>
      <c r="G182" s="536"/>
      <c r="H182" s="537"/>
      <c r="I182" s="529" t="s">
        <v>407</v>
      </c>
      <c r="J182" s="529"/>
      <c r="K182" s="529"/>
      <c r="L182" s="529"/>
      <c r="M182" s="530" t="s">
        <v>389</v>
      </c>
      <c r="N182" s="531"/>
      <c r="O182" s="531"/>
      <c r="P182" s="531"/>
      <c r="Q182" s="531"/>
      <c r="R182" s="532"/>
      <c r="S182" s="529"/>
      <c r="T182" s="529"/>
      <c r="U182" s="529"/>
    </row>
    <row r="183" spans="1:21" ht="18">
      <c r="A183" s="533"/>
      <c r="B183" s="526" t="s">
        <v>438</v>
      </c>
      <c r="C183" s="527"/>
      <c r="D183" s="527"/>
      <c r="E183" s="527"/>
      <c r="F183" s="527"/>
      <c r="G183" s="527"/>
      <c r="H183" s="528"/>
      <c r="I183" s="529" t="s">
        <v>414</v>
      </c>
      <c r="J183" s="529"/>
      <c r="K183" s="529"/>
      <c r="L183" s="529"/>
      <c r="M183" s="530" t="s">
        <v>390</v>
      </c>
      <c r="N183" s="531"/>
      <c r="O183" s="531"/>
      <c r="P183" s="531"/>
      <c r="Q183" s="531"/>
      <c r="R183" s="532"/>
      <c r="S183" s="529"/>
      <c r="T183" s="529"/>
      <c r="U183" s="529"/>
    </row>
    <row r="184" spans="1:21" ht="18">
      <c r="A184" s="533"/>
      <c r="B184" s="526" t="s">
        <v>439</v>
      </c>
      <c r="C184" s="527"/>
      <c r="D184" s="527"/>
      <c r="E184" s="527"/>
      <c r="F184" s="527"/>
      <c r="G184" s="527"/>
      <c r="H184" s="528"/>
      <c r="I184" s="529" t="s">
        <v>409</v>
      </c>
      <c r="J184" s="529"/>
      <c r="K184" s="529"/>
      <c r="L184" s="529"/>
      <c r="M184" s="530" t="s">
        <v>391</v>
      </c>
      <c r="N184" s="531"/>
      <c r="O184" s="531"/>
      <c r="P184" s="531"/>
      <c r="Q184" s="531"/>
      <c r="R184" s="532"/>
      <c r="S184" s="529"/>
      <c r="T184" s="529"/>
      <c r="U184" s="529"/>
    </row>
    <row r="185" spans="1:21" ht="18">
      <c r="A185" s="533"/>
      <c r="B185" s="526" t="s">
        <v>440</v>
      </c>
      <c r="C185" s="527"/>
      <c r="D185" s="527"/>
      <c r="E185" s="527"/>
      <c r="F185" s="527"/>
      <c r="G185" s="527"/>
      <c r="H185" s="528"/>
      <c r="I185" s="529" t="s">
        <v>409</v>
      </c>
      <c r="J185" s="529"/>
      <c r="K185" s="529"/>
      <c r="L185" s="529"/>
      <c r="M185" s="530" t="s">
        <v>391</v>
      </c>
      <c r="N185" s="531"/>
      <c r="O185" s="531"/>
      <c r="P185" s="531"/>
      <c r="Q185" s="531"/>
      <c r="R185" s="532"/>
      <c r="S185" s="529"/>
      <c r="T185" s="529"/>
      <c r="U185" s="529"/>
    </row>
    <row r="186" spans="1:21" ht="18">
      <c r="A186" s="533"/>
      <c r="B186" s="526" t="s">
        <v>441</v>
      </c>
      <c r="C186" s="527"/>
      <c r="D186" s="527"/>
      <c r="E186" s="527"/>
      <c r="F186" s="527"/>
      <c r="G186" s="527"/>
      <c r="H186" s="528"/>
      <c r="I186" s="529" t="s">
        <v>414</v>
      </c>
      <c r="J186" s="529"/>
      <c r="K186" s="529"/>
      <c r="L186" s="529"/>
      <c r="M186" s="530" t="s">
        <v>391</v>
      </c>
      <c r="N186" s="531"/>
      <c r="O186" s="531"/>
      <c r="P186" s="531"/>
      <c r="Q186" s="531"/>
      <c r="R186" s="532"/>
      <c r="S186" s="529"/>
      <c r="T186" s="529"/>
      <c r="U186" s="529"/>
    </row>
    <row r="187" spans="1:21" ht="18">
      <c r="A187" s="533"/>
      <c r="B187" s="526" t="s">
        <v>442</v>
      </c>
      <c r="C187" s="527"/>
      <c r="D187" s="527"/>
      <c r="E187" s="527"/>
      <c r="F187" s="527"/>
      <c r="G187" s="527"/>
      <c r="H187" s="528"/>
      <c r="I187" s="529" t="s">
        <v>407</v>
      </c>
      <c r="J187" s="529"/>
      <c r="K187" s="529"/>
      <c r="L187" s="529"/>
      <c r="M187" s="530" t="s">
        <v>390</v>
      </c>
      <c r="N187" s="531"/>
      <c r="O187" s="531"/>
      <c r="P187" s="531"/>
      <c r="Q187" s="531"/>
      <c r="R187" s="532"/>
      <c r="S187" s="529"/>
      <c r="T187" s="529"/>
      <c r="U187" s="529"/>
    </row>
    <row r="188" spans="1:21" ht="18">
      <c r="A188" s="533"/>
      <c r="B188" s="526" t="s">
        <v>0</v>
      </c>
      <c r="C188" s="527"/>
      <c r="D188" s="527"/>
      <c r="E188" s="527"/>
      <c r="F188" s="527"/>
      <c r="G188" s="527"/>
      <c r="H188" s="528"/>
      <c r="I188" s="529" t="s">
        <v>0</v>
      </c>
      <c r="J188" s="529"/>
      <c r="K188" s="529"/>
      <c r="L188" s="529"/>
      <c r="M188" s="530" t="s">
        <v>391</v>
      </c>
      <c r="N188" s="531"/>
      <c r="O188" s="531"/>
      <c r="P188" s="531"/>
      <c r="Q188" s="531"/>
      <c r="R188" s="532"/>
      <c r="S188" s="529"/>
      <c r="T188" s="529"/>
      <c r="U188" s="529"/>
    </row>
    <row r="189" spans="1:21" ht="18">
      <c r="A189" s="533"/>
      <c r="B189" s="526" t="s">
        <v>443</v>
      </c>
      <c r="C189" s="527"/>
      <c r="D189" s="527"/>
      <c r="E189" s="527"/>
      <c r="F189" s="527"/>
      <c r="G189" s="527"/>
      <c r="H189" s="528"/>
      <c r="I189" s="529" t="s">
        <v>409</v>
      </c>
      <c r="J189" s="529"/>
      <c r="K189" s="529"/>
      <c r="L189" s="529"/>
      <c r="M189" s="530" t="s">
        <v>391</v>
      </c>
      <c r="N189" s="531"/>
      <c r="O189" s="531"/>
      <c r="P189" s="531"/>
      <c r="Q189" s="531"/>
      <c r="R189" s="532"/>
      <c r="S189" s="529"/>
      <c r="T189" s="529"/>
      <c r="U189" s="529"/>
    </row>
    <row r="190" spans="1:21" ht="18">
      <c r="A190" s="533"/>
      <c r="B190" s="526" t="s">
        <v>444</v>
      </c>
      <c r="C190" s="527"/>
      <c r="D190" s="527"/>
      <c r="E190" s="527"/>
      <c r="F190" s="527"/>
      <c r="G190" s="527"/>
      <c r="H190" s="528"/>
      <c r="I190" s="529" t="s">
        <v>409</v>
      </c>
      <c r="J190" s="529"/>
      <c r="K190" s="529"/>
      <c r="L190" s="529"/>
      <c r="M190" s="530" t="s">
        <v>391</v>
      </c>
      <c r="N190" s="531"/>
      <c r="O190" s="531"/>
      <c r="P190" s="531"/>
      <c r="Q190" s="531"/>
      <c r="R190" s="532"/>
      <c r="S190" s="529"/>
      <c r="T190" s="529"/>
      <c r="U190" s="529"/>
    </row>
    <row r="191" spans="1:21" ht="18">
      <c r="A191" s="533"/>
      <c r="B191" s="526" t="s">
        <v>445</v>
      </c>
      <c r="C191" s="527"/>
      <c r="D191" s="527"/>
      <c r="E191" s="527"/>
      <c r="F191" s="527"/>
      <c r="G191" s="527"/>
      <c r="H191" s="528"/>
      <c r="I191" s="529" t="s">
        <v>414</v>
      </c>
      <c r="J191" s="529"/>
      <c r="K191" s="529"/>
      <c r="L191" s="529"/>
      <c r="M191" s="530" t="s">
        <v>391</v>
      </c>
      <c r="N191" s="531"/>
      <c r="O191" s="531"/>
      <c r="P191" s="531"/>
      <c r="Q191" s="531"/>
      <c r="R191" s="532"/>
      <c r="S191" s="529"/>
      <c r="T191" s="529"/>
      <c r="U191" s="529"/>
    </row>
    <row r="192" spans="1:21" ht="18">
      <c r="A192" s="533"/>
      <c r="B192" s="526" t="s">
        <v>446</v>
      </c>
      <c r="C192" s="527"/>
      <c r="D192" s="527"/>
      <c r="E192" s="527"/>
      <c r="F192" s="527"/>
      <c r="G192" s="527"/>
      <c r="H192" s="528"/>
      <c r="I192" s="529" t="s">
        <v>409</v>
      </c>
      <c r="J192" s="529"/>
      <c r="K192" s="529"/>
      <c r="L192" s="529"/>
      <c r="M192" s="530" t="s">
        <v>391</v>
      </c>
      <c r="N192" s="531"/>
      <c r="O192" s="531"/>
      <c r="P192" s="531"/>
      <c r="Q192" s="531"/>
      <c r="R192" s="532"/>
      <c r="S192" s="529" t="s">
        <v>372</v>
      </c>
      <c r="T192" s="529"/>
      <c r="U192" s="529"/>
    </row>
    <row r="193" spans="1:21" ht="18">
      <c r="A193" s="533"/>
      <c r="B193" s="526" t="s">
        <v>447</v>
      </c>
      <c r="C193" s="527"/>
      <c r="D193" s="527"/>
      <c r="E193" s="527"/>
      <c r="F193" s="527"/>
      <c r="G193" s="527"/>
      <c r="H193" s="528"/>
      <c r="I193" s="529" t="s">
        <v>409</v>
      </c>
      <c r="J193" s="529"/>
      <c r="K193" s="529"/>
      <c r="L193" s="529"/>
      <c r="M193" s="530" t="s">
        <v>391</v>
      </c>
      <c r="N193" s="531"/>
      <c r="O193" s="531"/>
      <c r="P193" s="531"/>
      <c r="Q193" s="531"/>
      <c r="R193" s="532"/>
      <c r="S193" s="529"/>
      <c r="T193" s="529"/>
      <c r="U193" s="529"/>
    </row>
    <row r="194" spans="1:21" ht="18">
      <c r="A194" s="533"/>
      <c r="B194" s="526" t="s">
        <v>448</v>
      </c>
      <c r="C194" s="527"/>
      <c r="D194" s="527"/>
      <c r="E194" s="527"/>
      <c r="F194" s="527"/>
      <c r="G194" s="527"/>
      <c r="H194" s="528"/>
      <c r="I194" s="529" t="s">
        <v>414</v>
      </c>
      <c r="J194" s="529"/>
      <c r="K194" s="529"/>
      <c r="L194" s="529"/>
      <c r="M194" s="530" t="s">
        <v>391</v>
      </c>
      <c r="N194" s="531"/>
      <c r="O194" s="531"/>
      <c r="P194" s="531"/>
      <c r="Q194" s="531"/>
      <c r="R194" s="532"/>
      <c r="S194" s="529"/>
      <c r="T194" s="529"/>
      <c r="U194" s="529"/>
    </row>
    <row r="195" spans="1:21" ht="18">
      <c r="A195" s="258" t="s">
        <v>449</v>
      </c>
      <c r="B195" s="610" t="s">
        <v>450</v>
      </c>
      <c r="C195" s="611"/>
      <c r="D195" s="611"/>
      <c r="E195" s="611"/>
      <c r="F195" s="611"/>
      <c r="G195" s="611"/>
      <c r="H195" s="612"/>
      <c r="I195" s="534" t="s">
        <v>414</v>
      </c>
      <c r="J195" s="534"/>
      <c r="K195" s="534"/>
      <c r="L195" s="534"/>
      <c r="M195" s="613" t="s">
        <v>391</v>
      </c>
      <c r="N195" s="614"/>
      <c r="O195" s="614"/>
      <c r="P195" s="614"/>
      <c r="Q195" s="614"/>
      <c r="R195" s="615"/>
      <c r="S195" s="534"/>
      <c r="T195" s="534"/>
      <c r="U195" s="534"/>
    </row>
    <row r="198" spans="1:21" s="97" customFormat="1">
      <c r="A198" s="235" t="s">
        <v>451</v>
      </c>
      <c r="B198" s="236"/>
      <c r="C198" s="236"/>
      <c r="D198" s="236"/>
      <c r="E198" s="236"/>
      <c r="F198" s="236"/>
      <c r="G198" s="236"/>
      <c r="H198" s="165"/>
      <c r="I198" s="165"/>
      <c r="J198" s="237"/>
      <c r="K198" s="237"/>
      <c r="L198" s="237"/>
      <c r="M198" s="237"/>
      <c r="N198" s="237"/>
      <c r="O198" s="237"/>
      <c r="P198" s="236"/>
      <c r="Q198" s="236"/>
      <c r="R198" s="236"/>
      <c r="S198" s="236"/>
      <c r="T198" s="236"/>
      <c r="U198" s="238"/>
    </row>
    <row r="199" spans="1:21" s="97" customFormat="1" ht="15" customHeight="1">
      <c r="A199" s="517" t="s">
        <v>452</v>
      </c>
      <c r="B199" s="518"/>
      <c r="C199" s="518"/>
      <c r="D199" s="518"/>
      <c r="E199" s="518"/>
      <c r="F199" s="518"/>
      <c r="G199" s="518"/>
      <c r="H199" s="518"/>
      <c r="I199" s="518"/>
      <c r="J199" s="518"/>
      <c r="K199" s="518"/>
      <c r="L199" s="518"/>
      <c r="M199" s="518"/>
      <c r="N199" s="518"/>
      <c r="O199" s="518"/>
      <c r="P199" s="518"/>
      <c r="Q199" s="518"/>
      <c r="R199" s="518"/>
      <c r="S199" s="518"/>
      <c r="T199" s="518"/>
      <c r="U199" s="519"/>
    </row>
    <row r="200" spans="1:21" s="97" customFormat="1" ht="31.5" customHeight="1">
      <c r="A200" s="520" t="s">
        <v>453</v>
      </c>
      <c r="B200" s="521"/>
      <c r="C200" s="521"/>
      <c r="D200" s="521"/>
      <c r="E200" s="521"/>
      <c r="F200" s="521"/>
      <c r="G200" s="521"/>
      <c r="H200" s="521"/>
      <c r="I200" s="521"/>
      <c r="J200" s="521"/>
      <c r="K200" s="521"/>
      <c r="L200" s="521"/>
      <c r="M200" s="521"/>
      <c r="N200" s="521"/>
      <c r="O200" s="521"/>
      <c r="P200" s="521"/>
      <c r="Q200" s="521"/>
      <c r="R200" s="521"/>
      <c r="S200" s="521"/>
      <c r="T200" s="521"/>
      <c r="U200" s="522"/>
    </row>
    <row r="201" spans="1:21" s="97" customFormat="1" ht="31.5" customHeight="1">
      <c r="A201" s="520" t="s">
        <v>454</v>
      </c>
      <c r="B201" s="521"/>
      <c r="C201" s="521"/>
      <c r="D201" s="521"/>
      <c r="E201" s="521"/>
      <c r="F201" s="521"/>
      <c r="G201" s="521"/>
      <c r="H201" s="521"/>
      <c r="I201" s="521"/>
      <c r="J201" s="521"/>
      <c r="K201" s="521"/>
      <c r="L201" s="521"/>
      <c r="M201" s="521"/>
      <c r="N201" s="521"/>
      <c r="O201" s="521"/>
      <c r="P201" s="521"/>
      <c r="Q201" s="521"/>
      <c r="R201" s="521"/>
      <c r="S201" s="521"/>
      <c r="T201" s="521"/>
      <c r="U201" s="522"/>
    </row>
    <row r="202" spans="1:21" s="97" customFormat="1" ht="30.75" customHeight="1">
      <c r="A202" s="520" t="s">
        <v>455</v>
      </c>
      <c r="B202" s="521"/>
      <c r="C202" s="521"/>
      <c r="D202" s="521"/>
      <c r="E202" s="521"/>
      <c r="F202" s="521"/>
      <c r="G202" s="521"/>
      <c r="H202" s="521"/>
      <c r="I202" s="521"/>
      <c r="J202" s="521"/>
      <c r="K202" s="521"/>
      <c r="L202" s="521"/>
      <c r="M202" s="521"/>
      <c r="N202" s="521"/>
      <c r="O202" s="521"/>
      <c r="P202" s="521"/>
      <c r="Q202" s="521"/>
      <c r="R202" s="521"/>
      <c r="S202" s="521"/>
      <c r="T202" s="521"/>
      <c r="U202" s="522"/>
    </row>
    <row r="203" spans="1:21" s="97" customFormat="1" ht="12.75" customHeight="1">
      <c r="A203" s="523" t="s">
        <v>456</v>
      </c>
      <c r="B203" s="524"/>
      <c r="C203" s="524"/>
      <c r="D203" s="524"/>
      <c r="E203" s="524"/>
      <c r="F203" s="524"/>
      <c r="G203" s="524"/>
      <c r="H203" s="524"/>
      <c r="I203" s="524"/>
      <c r="J203" s="524"/>
      <c r="K203" s="524"/>
      <c r="L203" s="524"/>
      <c r="M203" s="524"/>
      <c r="N203" s="524"/>
      <c r="O203" s="524"/>
      <c r="P203" s="524"/>
      <c r="Q203" s="524"/>
      <c r="R203" s="524"/>
      <c r="S203" s="524"/>
      <c r="T203" s="524"/>
      <c r="U203" s="525"/>
    </row>
  </sheetData>
  <customSheetViews>
    <customSheetView guid="{1EC8F930-14F4-4F68-ADDF-6F0F0EB721BA}" scale="90" colorId="22" showGridLines="0">
      <selection sqref="A1:F1"/>
      <pageMargins left="0" right="0" top="0" bottom="0" header="0" footer="0"/>
      <printOptions horizontalCentered="1"/>
      <pageSetup paperSize="9" orientation="landscape"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cale="90" colorId="22" showGridLines="0">
      <selection sqref="A1:F1"/>
      <pageMargins left="0" right="0" top="0" bottom="0" header="0" footer="0"/>
      <printOptions horizontalCentered="1"/>
      <pageSetup paperSize="9" orientation="landscape"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236">
    <mergeCell ref="B195:H195"/>
    <mergeCell ref="I195:L195"/>
    <mergeCell ref="M195:R195"/>
    <mergeCell ref="S195:U195"/>
    <mergeCell ref="B2:AG2"/>
    <mergeCell ref="A5:A6"/>
    <mergeCell ref="B5:D6"/>
    <mergeCell ref="E5:S5"/>
    <mergeCell ref="E6:G6"/>
    <mergeCell ref="H6:J6"/>
    <mergeCell ref="K6:M6"/>
    <mergeCell ref="N6:P6"/>
    <mergeCell ref="Q6:S6"/>
    <mergeCell ref="B7:D7"/>
    <mergeCell ref="E7:G7"/>
    <mergeCell ref="H7:J7"/>
    <mergeCell ref="K7:M7"/>
    <mergeCell ref="N7:P7"/>
    <mergeCell ref="Q7:S7"/>
    <mergeCell ref="B11:AG16"/>
    <mergeCell ref="B19:D21"/>
    <mergeCell ref="E19:S19"/>
    <mergeCell ref="E20:G20"/>
    <mergeCell ref="H20:J20"/>
    <mergeCell ref="K20:M20"/>
    <mergeCell ref="N20:P20"/>
    <mergeCell ref="Q20:S20"/>
    <mergeCell ref="E21:G21"/>
    <mergeCell ref="H21:J21"/>
    <mergeCell ref="K21:M21"/>
    <mergeCell ref="N21:P21"/>
    <mergeCell ref="Q21:S21"/>
    <mergeCell ref="B34:AG34"/>
    <mergeCell ref="B36:Q66"/>
    <mergeCell ref="S36:AG66"/>
    <mergeCell ref="B68:AG69"/>
    <mergeCell ref="B24:D32"/>
    <mergeCell ref="E24:S24"/>
    <mergeCell ref="E25:G25"/>
    <mergeCell ref="H25:J25"/>
    <mergeCell ref="K25:M25"/>
    <mergeCell ref="N25:P25"/>
    <mergeCell ref="Q25:S25"/>
    <mergeCell ref="E26:G32"/>
    <mergeCell ref="H26:J32"/>
    <mergeCell ref="K26:M32"/>
    <mergeCell ref="N26:P32"/>
    <mergeCell ref="Q26:S32"/>
    <mergeCell ref="B127:AG128"/>
    <mergeCell ref="B129:AG137"/>
    <mergeCell ref="B140:D142"/>
    <mergeCell ref="E140:S140"/>
    <mergeCell ref="E141:G141"/>
    <mergeCell ref="H141:J141"/>
    <mergeCell ref="K141:M141"/>
    <mergeCell ref="N141:P141"/>
    <mergeCell ref="Q141:S141"/>
    <mergeCell ref="E142:G142"/>
    <mergeCell ref="H142:J142"/>
    <mergeCell ref="K142:M142"/>
    <mergeCell ref="N142:P142"/>
    <mergeCell ref="Q142:S142"/>
    <mergeCell ref="B143:S143"/>
    <mergeCell ref="B146:D154"/>
    <mergeCell ref="E146:S146"/>
    <mergeCell ref="E147:G147"/>
    <mergeCell ref="H147:J147"/>
    <mergeCell ref="K147:M147"/>
    <mergeCell ref="N147:P147"/>
    <mergeCell ref="Q147:S147"/>
    <mergeCell ref="E148:G154"/>
    <mergeCell ref="H148:J154"/>
    <mergeCell ref="K148:M154"/>
    <mergeCell ref="N148:P154"/>
    <mergeCell ref="Q148:S154"/>
    <mergeCell ref="B156:S156"/>
    <mergeCell ref="B158:H158"/>
    <mergeCell ref="I158:L158"/>
    <mergeCell ref="M158:R158"/>
    <mergeCell ref="S158:U158"/>
    <mergeCell ref="I161:L161"/>
    <mergeCell ref="M161:R161"/>
    <mergeCell ref="S161:U161"/>
    <mergeCell ref="B162:H162"/>
    <mergeCell ref="I162:L162"/>
    <mergeCell ref="M162:R162"/>
    <mergeCell ref="S162:U162"/>
    <mergeCell ref="A166:A167"/>
    <mergeCell ref="B166:H166"/>
    <mergeCell ref="I166:L166"/>
    <mergeCell ref="M166:R166"/>
    <mergeCell ref="S166:U166"/>
    <mergeCell ref="B167:H167"/>
    <mergeCell ref="I167:L167"/>
    <mergeCell ref="M167:R167"/>
    <mergeCell ref="S167:U167"/>
    <mergeCell ref="A159:A165"/>
    <mergeCell ref="B159:H159"/>
    <mergeCell ref="I159:L159"/>
    <mergeCell ref="M159:R159"/>
    <mergeCell ref="S159:U159"/>
    <mergeCell ref="B160:H160"/>
    <mergeCell ref="I160:L160"/>
    <mergeCell ref="M160:R160"/>
    <mergeCell ref="S160:U160"/>
    <mergeCell ref="B161:H161"/>
    <mergeCell ref="B165:H165"/>
    <mergeCell ref="I165:L165"/>
    <mergeCell ref="M165:R165"/>
    <mergeCell ref="S165:U165"/>
    <mergeCell ref="B164:H164"/>
    <mergeCell ref="I164:L164"/>
    <mergeCell ref="M164:R164"/>
    <mergeCell ref="S164:U164"/>
    <mergeCell ref="B163:H163"/>
    <mergeCell ref="I163:L163"/>
    <mergeCell ref="M163:R163"/>
    <mergeCell ref="S163:U163"/>
    <mergeCell ref="S179:U179"/>
    <mergeCell ref="S171:U171"/>
    <mergeCell ref="B172:H172"/>
    <mergeCell ref="I172:L172"/>
    <mergeCell ref="M172:R172"/>
    <mergeCell ref="S172:U172"/>
    <mergeCell ref="A168:A172"/>
    <mergeCell ref="B168:H168"/>
    <mergeCell ref="I168:L168"/>
    <mergeCell ref="M168:R168"/>
    <mergeCell ref="S168:U168"/>
    <mergeCell ref="B169:H169"/>
    <mergeCell ref="I169:L169"/>
    <mergeCell ref="M169:R169"/>
    <mergeCell ref="S169:U169"/>
    <mergeCell ref="B170:H170"/>
    <mergeCell ref="I170:L170"/>
    <mergeCell ref="M170:R170"/>
    <mergeCell ref="S170:U170"/>
    <mergeCell ref="B171:H171"/>
    <mergeCell ref="I171:L171"/>
    <mergeCell ref="M171:R171"/>
    <mergeCell ref="I183:L183"/>
    <mergeCell ref="A173:A180"/>
    <mergeCell ref="B173:H173"/>
    <mergeCell ref="I173:L173"/>
    <mergeCell ref="M173:R173"/>
    <mergeCell ref="S173:U173"/>
    <mergeCell ref="B174:H174"/>
    <mergeCell ref="I174:L174"/>
    <mergeCell ref="M174:R174"/>
    <mergeCell ref="S174:U174"/>
    <mergeCell ref="B175:H175"/>
    <mergeCell ref="I175:L175"/>
    <mergeCell ref="M175:R175"/>
    <mergeCell ref="S175:U175"/>
    <mergeCell ref="B176:H176"/>
    <mergeCell ref="I176:L176"/>
    <mergeCell ref="M176:R176"/>
    <mergeCell ref="B178:H178"/>
    <mergeCell ref="I178:L178"/>
    <mergeCell ref="M178:R178"/>
    <mergeCell ref="S178:U178"/>
    <mergeCell ref="B179:H179"/>
    <mergeCell ref="I179:L179"/>
    <mergeCell ref="M179:R179"/>
    <mergeCell ref="S186:U186"/>
    <mergeCell ref="S176:U176"/>
    <mergeCell ref="B177:H177"/>
    <mergeCell ref="I177:L177"/>
    <mergeCell ref="M177:R177"/>
    <mergeCell ref="S177:U177"/>
    <mergeCell ref="S183:U183"/>
    <mergeCell ref="B184:H184"/>
    <mergeCell ref="I184:L184"/>
    <mergeCell ref="M184:R184"/>
    <mergeCell ref="S184:U184"/>
    <mergeCell ref="B180:H180"/>
    <mergeCell ref="I180:L180"/>
    <mergeCell ref="M180:R180"/>
    <mergeCell ref="S180:U180"/>
    <mergeCell ref="B181:H181"/>
    <mergeCell ref="I181:L181"/>
    <mergeCell ref="M181:R181"/>
    <mergeCell ref="S181:U181"/>
    <mergeCell ref="B182:H182"/>
    <mergeCell ref="I182:L182"/>
    <mergeCell ref="M182:R182"/>
    <mergeCell ref="S182:U182"/>
    <mergeCell ref="B183:H183"/>
    <mergeCell ref="B189:H189"/>
    <mergeCell ref="I189:L189"/>
    <mergeCell ref="M189:R189"/>
    <mergeCell ref="S189:U189"/>
    <mergeCell ref="B190:H190"/>
    <mergeCell ref="I190:L190"/>
    <mergeCell ref="M190:R190"/>
    <mergeCell ref="S190:U190"/>
    <mergeCell ref="M183:R183"/>
    <mergeCell ref="B187:H187"/>
    <mergeCell ref="I187:L187"/>
    <mergeCell ref="M187:R187"/>
    <mergeCell ref="S187:U187"/>
    <mergeCell ref="B188:H188"/>
    <mergeCell ref="I188:L188"/>
    <mergeCell ref="M188:R188"/>
    <mergeCell ref="S188:U188"/>
    <mergeCell ref="B185:H185"/>
    <mergeCell ref="I185:L185"/>
    <mergeCell ref="M185:R185"/>
    <mergeCell ref="S185:U185"/>
    <mergeCell ref="B186:H186"/>
    <mergeCell ref="I186:L186"/>
    <mergeCell ref="M186:R186"/>
    <mergeCell ref="B71:Q124"/>
    <mergeCell ref="S71:AH124"/>
    <mergeCell ref="A199:U199"/>
    <mergeCell ref="A200:U200"/>
    <mergeCell ref="A201:U201"/>
    <mergeCell ref="A202:U202"/>
    <mergeCell ref="A203:U203"/>
    <mergeCell ref="B193:H193"/>
    <mergeCell ref="I193:L193"/>
    <mergeCell ref="M193:R193"/>
    <mergeCell ref="S193:U193"/>
    <mergeCell ref="B194:H194"/>
    <mergeCell ref="I194:L194"/>
    <mergeCell ref="M194:R194"/>
    <mergeCell ref="S194:U194"/>
    <mergeCell ref="A181:A194"/>
    <mergeCell ref="B191:H191"/>
    <mergeCell ref="I191:L191"/>
    <mergeCell ref="M191:R191"/>
    <mergeCell ref="S191:U191"/>
    <mergeCell ref="B192:H192"/>
    <mergeCell ref="I192:L192"/>
    <mergeCell ref="M192:R192"/>
    <mergeCell ref="S192:U192"/>
  </mergeCells>
  <phoneticPr fontId="50" type="noConversion"/>
  <printOptions horizontalCentered="1"/>
  <pageMargins left="0.78740157480314965" right="0.39370078740157483" top="0.78" bottom="0.82677165354330717" header="0.19685039370078741" footer="0.31496062992125984"/>
  <pageSetup paperSize="9" orientation="landscape" r:id="rId3"/>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drawing r:id="rId4"/>
  <legacyDrawingHF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2">
    <tabColor indexed="22"/>
  </sheetPr>
  <dimension ref="A1:H22"/>
  <sheetViews>
    <sheetView showGridLines="0" defaultGridColor="0" topLeftCell="A16" colorId="22" zoomScale="90" workbookViewId="0">
      <selection activeCell="H17" sqref="H17"/>
    </sheetView>
  </sheetViews>
  <sheetFormatPr defaultColWidth="11.42578125" defaultRowHeight="12.75"/>
  <cols>
    <col min="1" max="1" width="26.42578125" customWidth="1"/>
    <col min="2" max="2" width="30.140625" customWidth="1"/>
    <col min="3" max="3" width="24" customWidth="1"/>
    <col min="4" max="4" width="25.28515625" customWidth="1"/>
    <col min="5" max="5" width="22.7109375" customWidth="1"/>
  </cols>
  <sheetData>
    <row r="1" spans="1:8" ht="36.75" customHeight="1">
      <c r="A1" s="640" t="s">
        <v>220</v>
      </c>
      <c r="B1" s="640"/>
      <c r="C1" s="640"/>
      <c r="D1" s="640"/>
      <c r="E1" s="640"/>
      <c r="F1" s="181"/>
      <c r="G1" s="181"/>
      <c r="H1" s="181"/>
    </row>
    <row r="2" spans="1:8" s="181" customFormat="1" ht="99" customHeight="1" thickBot="1">
      <c r="A2" s="472" t="s">
        <v>457</v>
      </c>
      <c r="B2" s="472"/>
      <c r="C2" s="472"/>
      <c r="D2" s="472"/>
      <c r="E2" s="472"/>
    </row>
    <row r="3" spans="1:8" ht="15.75" customHeight="1">
      <c r="A3" s="77" t="s">
        <v>322</v>
      </c>
      <c r="B3" s="78" t="s">
        <v>458</v>
      </c>
      <c r="C3" s="78" t="s">
        <v>459</v>
      </c>
      <c r="D3" s="78" t="s">
        <v>460</v>
      </c>
      <c r="E3" s="79" t="s">
        <v>461</v>
      </c>
      <c r="F3" s="181"/>
      <c r="G3" s="181"/>
      <c r="H3" s="181"/>
    </row>
    <row r="4" spans="1:8" ht="24.75" thickBot="1">
      <c r="A4" s="87" t="s">
        <v>44</v>
      </c>
      <c r="B4" s="88" t="s">
        <v>462</v>
      </c>
      <c r="C4" s="88" t="s">
        <v>463</v>
      </c>
      <c r="D4" s="88" t="s">
        <v>464</v>
      </c>
      <c r="E4" s="89" t="s">
        <v>465</v>
      </c>
      <c r="F4" s="181"/>
      <c r="G4" s="181"/>
      <c r="H4" s="181"/>
    </row>
    <row r="5" spans="1:8" ht="63.75" customHeight="1">
      <c r="A5" s="468" t="s">
        <v>466</v>
      </c>
      <c r="B5" s="641"/>
      <c r="C5" s="641"/>
      <c r="D5" s="641"/>
      <c r="E5" s="642"/>
      <c r="F5" s="181"/>
      <c r="G5" s="181"/>
      <c r="H5" s="181"/>
    </row>
    <row r="6" spans="1:8" ht="75" customHeight="1">
      <c r="A6" s="270" t="s">
        <v>380</v>
      </c>
      <c r="B6" s="80" t="s">
        <v>462</v>
      </c>
      <c r="C6" s="67" t="s">
        <v>467</v>
      </c>
      <c r="D6" s="67" t="s">
        <v>468</v>
      </c>
      <c r="E6" s="68" t="s">
        <v>469</v>
      </c>
      <c r="F6" s="181"/>
      <c r="G6" s="181"/>
      <c r="H6" s="264"/>
    </row>
    <row r="7" spans="1:8" ht="24">
      <c r="A7" s="82" t="s">
        <v>470</v>
      </c>
      <c r="B7" s="80" t="s">
        <v>471</v>
      </c>
      <c r="C7" s="80"/>
      <c r="D7" s="80"/>
      <c r="E7" s="81"/>
      <c r="F7" s="181"/>
      <c r="G7" s="181"/>
      <c r="H7" s="181"/>
    </row>
    <row r="8" spans="1:8" ht="24">
      <c r="A8" s="82" t="s">
        <v>472</v>
      </c>
      <c r="B8" s="80" t="s">
        <v>471</v>
      </c>
      <c r="C8" s="80"/>
      <c r="D8" s="80"/>
      <c r="E8" s="81"/>
      <c r="F8" s="181"/>
      <c r="G8" s="181"/>
      <c r="H8" s="181"/>
    </row>
    <row r="9" spans="1:8">
      <c r="A9" s="82" t="s">
        <v>473</v>
      </c>
      <c r="B9" s="80" t="s">
        <v>471</v>
      </c>
      <c r="C9" s="80"/>
      <c r="D9" s="80"/>
      <c r="E9" s="81"/>
      <c r="F9" s="181"/>
      <c r="G9" s="181"/>
      <c r="H9" s="181"/>
    </row>
    <row r="10" spans="1:8" ht="24">
      <c r="A10" s="82" t="s">
        <v>474</v>
      </c>
      <c r="B10" s="80" t="s">
        <v>471</v>
      </c>
      <c r="C10" s="80"/>
      <c r="D10" s="80"/>
      <c r="E10" s="81"/>
      <c r="F10" s="181"/>
      <c r="G10" s="181"/>
      <c r="H10" s="181"/>
    </row>
    <row r="11" spans="1:8" ht="24">
      <c r="A11" s="82" t="s">
        <v>475</v>
      </c>
      <c r="B11" s="80"/>
      <c r="C11" s="80" t="s">
        <v>476</v>
      </c>
      <c r="D11" s="80"/>
      <c r="E11" s="81"/>
      <c r="F11" s="181"/>
      <c r="G11" s="181"/>
      <c r="H11" s="181"/>
    </row>
    <row r="12" spans="1:8" ht="24">
      <c r="A12" s="82" t="s">
        <v>477</v>
      </c>
      <c r="B12" s="80" t="s">
        <v>462</v>
      </c>
      <c r="C12" s="80"/>
      <c r="D12" s="80"/>
      <c r="E12" s="81"/>
      <c r="F12" s="181"/>
      <c r="G12" s="181"/>
      <c r="H12" s="181"/>
    </row>
    <row r="13" spans="1:8" ht="24">
      <c r="A13" s="82" t="s">
        <v>478</v>
      </c>
      <c r="B13" s="80"/>
      <c r="C13" s="80"/>
      <c r="D13" s="80" t="s">
        <v>471</v>
      </c>
      <c r="E13" s="81"/>
      <c r="F13" s="181"/>
      <c r="G13" s="181"/>
      <c r="H13" s="181"/>
    </row>
    <row r="14" spans="1:8" ht="36">
      <c r="A14" s="82" t="s">
        <v>479</v>
      </c>
      <c r="B14" s="80"/>
      <c r="C14" s="80"/>
      <c r="D14" s="80" t="s">
        <v>480</v>
      </c>
      <c r="E14" s="81"/>
      <c r="F14" s="181"/>
      <c r="G14" s="181"/>
      <c r="H14" s="181"/>
    </row>
    <row r="15" spans="1:8" ht="36">
      <c r="A15" s="82" t="s">
        <v>481</v>
      </c>
      <c r="B15" s="80"/>
      <c r="C15" s="80"/>
      <c r="D15" s="80" t="s">
        <v>471</v>
      </c>
      <c r="E15" s="81"/>
      <c r="F15" s="181"/>
      <c r="G15" s="181"/>
      <c r="H15" s="181"/>
    </row>
    <row r="16" spans="1:8" ht="48">
      <c r="A16" s="82" t="s">
        <v>482</v>
      </c>
      <c r="B16" s="80"/>
      <c r="C16" s="80"/>
      <c r="D16" s="80"/>
      <c r="E16" s="81" t="s">
        <v>483</v>
      </c>
      <c r="F16" s="181"/>
      <c r="G16" s="181"/>
      <c r="H16" s="181"/>
    </row>
    <row r="17" spans="1:5" ht="60">
      <c r="A17" s="82" t="s">
        <v>484</v>
      </c>
      <c r="B17" s="80"/>
      <c r="C17" s="80"/>
      <c r="D17" s="80"/>
      <c r="E17" s="81" t="s">
        <v>483</v>
      </c>
    </row>
    <row r="19" spans="1:5">
      <c r="A19" s="94" t="s">
        <v>485</v>
      </c>
      <c r="B19" s="16"/>
      <c r="C19" s="16"/>
      <c r="D19" s="16"/>
      <c r="E19" s="181"/>
    </row>
    <row r="21" spans="1:5" ht="129" customHeight="1">
      <c r="A21" s="643" t="s">
        <v>486</v>
      </c>
      <c r="B21" s="643"/>
      <c r="C21" s="643"/>
      <c r="D21" s="643"/>
      <c r="E21" s="643"/>
    </row>
    <row r="22" spans="1:5">
      <c r="A22" s="279"/>
      <c r="B22" s="181"/>
      <c r="C22" s="181"/>
      <c r="D22" s="181"/>
      <c r="E22" s="181"/>
    </row>
  </sheetData>
  <customSheetViews>
    <customSheetView guid="{1EC8F930-14F4-4F68-ADDF-6F0F0EB721BA}" scale="90" colorId="22" showGridLines="0">
      <selection activeCell="A4" sqref="A4:E4"/>
      <pageMargins left="0" right="0" top="0" bottom="0" header="0" footer="0"/>
      <printOptions horizontalCentered="1"/>
      <pageSetup paperSize="9" orientation="landscape"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cale="90" colorId="22" showGridLines="0">
      <selection activeCell="A4" sqref="A4:E4"/>
      <pageMargins left="0" right="0" top="0" bottom="0" header="0" footer="0"/>
      <printOptions horizontalCentered="1"/>
      <pageSetup paperSize="9" orientation="landscape"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4">
    <mergeCell ref="A1:E1"/>
    <mergeCell ref="A5:E5"/>
    <mergeCell ref="A21:E21"/>
    <mergeCell ref="A2:E2"/>
  </mergeCells>
  <phoneticPr fontId="50" type="noConversion"/>
  <printOptions horizontalCentered="1"/>
  <pageMargins left="0.78740157480314965" right="0.39370078740157483" top="0.78" bottom="0.82677165354330717" header="0.19685039370078741" footer="0.31496062992125984"/>
  <pageSetup paperSize="9" orientation="landscape" r:id="rId3"/>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0">
    <tabColor indexed="22"/>
  </sheetPr>
  <dimension ref="B1:U84"/>
  <sheetViews>
    <sheetView showGridLines="0" defaultGridColor="0" colorId="23" zoomScale="115" workbookViewId="0">
      <selection activeCell="A25" sqref="A25:XFD25"/>
    </sheetView>
  </sheetViews>
  <sheetFormatPr defaultColWidth="11.42578125" defaultRowHeight="12.75"/>
  <cols>
    <col min="1" max="1" width="1.5703125" style="3" customWidth="1"/>
    <col min="2" max="3" width="3.28515625" style="3" bestFit="1" customWidth="1"/>
    <col min="4" max="4" width="5.5703125" style="3" hidden="1" customWidth="1"/>
    <col min="5" max="6" width="15.28515625" style="3" customWidth="1"/>
    <col min="7" max="7" width="11.42578125" style="3"/>
    <col min="8" max="8" width="11.85546875" style="3" customWidth="1"/>
    <col min="9" max="9" width="11.42578125" style="3"/>
    <col min="10" max="10" width="0" style="3" hidden="1" customWidth="1"/>
    <col min="11" max="12" width="3.5703125" style="3" hidden="1" customWidth="1"/>
    <col min="13" max="13" width="2.140625" style="3" hidden="1" customWidth="1"/>
    <col min="14" max="15" width="3.5703125" style="3" hidden="1" customWidth="1"/>
    <col min="16" max="16" width="2.140625" style="3" hidden="1" customWidth="1"/>
    <col min="17" max="18" width="3.5703125" style="3" hidden="1" customWidth="1"/>
    <col min="19" max="19" width="1.85546875" style="3" hidden="1" customWidth="1"/>
    <col min="20" max="20" width="15.5703125" style="3" hidden="1" customWidth="1"/>
    <col min="21" max="21" width="14.42578125" style="3" hidden="1" customWidth="1"/>
    <col min="22" max="16384" width="11.42578125" style="3"/>
  </cols>
  <sheetData>
    <row r="1" spans="2:21" ht="35.25" customHeight="1">
      <c r="B1" s="652" t="s">
        <v>487</v>
      </c>
      <c r="C1" s="652"/>
      <c r="D1" s="652"/>
      <c r="E1" s="652"/>
      <c r="F1" s="652"/>
      <c r="G1" s="652"/>
      <c r="H1" s="652"/>
    </row>
    <row r="2" spans="2:21" ht="13.5" thickBot="1"/>
    <row r="3" spans="2:21" ht="27.75" customHeight="1" thickBot="1">
      <c r="B3" s="14"/>
      <c r="C3" s="14"/>
      <c r="D3" s="15"/>
      <c r="E3" s="10" t="s">
        <v>458</v>
      </c>
      <c r="F3" s="10" t="s">
        <v>459</v>
      </c>
      <c r="G3" s="10" t="s">
        <v>460</v>
      </c>
      <c r="H3" s="10" t="s">
        <v>461</v>
      </c>
      <c r="J3" s="653" t="s">
        <v>488</v>
      </c>
      <c r="K3" s="644" t="s">
        <v>489</v>
      </c>
      <c r="L3" s="645"/>
      <c r="M3" s="19"/>
      <c r="N3" s="644" t="s">
        <v>490</v>
      </c>
      <c r="O3" s="645"/>
      <c r="P3" s="19"/>
      <c r="Q3" s="644" t="s">
        <v>491</v>
      </c>
      <c r="R3" s="645"/>
      <c r="S3" s="19"/>
      <c r="T3" s="20" t="s">
        <v>492</v>
      </c>
      <c r="U3" s="21" t="s">
        <v>493</v>
      </c>
    </row>
    <row r="4" spans="2:21" ht="21" customHeight="1" thickBot="1">
      <c r="B4" s="646" t="s">
        <v>323</v>
      </c>
      <c r="C4" s="11" t="s">
        <v>368</v>
      </c>
      <c r="D4" s="35" t="s">
        <v>494</v>
      </c>
      <c r="E4" s="207"/>
      <c r="F4" s="207"/>
      <c r="G4" s="207"/>
      <c r="H4" s="208"/>
      <c r="J4" s="654"/>
      <c r="K4" s="22" t="s">
        <v>215</v>
      </c>
      <c r="L4" s="280"/>
      <c r="M4" s="281"/>
      <c r="N4" s="23" t="s">
        <v>217</v>
      </c>
      <c r="O4" s="280"/>
      <c r="P4" s="281"/>
      <c r="Q4" s="22" t="s">
        <v>219</v>
      </c>
      <c r="R4" s="280"/>
      <c r="S4" s="281"/>
      <c r="T4" s="28" t="s">
        <v>495</v>
      </c>
      <c r="U4" s="24" t="e">
        <v>#N/A</v>
      </c>
    </row>
    <row r="5" spans="2:21" ht="21.75" customHeight="1" thickBot="1">
      <c r="B5" s="647"/>
      <c r="C5" s="9" t="s">
        <v>369</v>
      </c>
      <c r="D5" s="39" t="s">
        <v>496</v>
      </c>
      <c r="E5" s="209"/>
      <c r="F5" s="209"/>
      <c r="G5" s="209"/>
      <c r="H5" s="210"/>
      <c r="J5" s="654"/>
      <c r="K5" s="22" t="s">
        <v>215</v>
      </c>
      <c r="L5" s="280" t="s">
        <v>19</v>
      </c>
      <c r="M5" s="281"/>
      <c r="N5" s="23" t="s">
        <v>217</v>
      </c>
      <c r="O5" s="280" t="s">
        <v>19</v>
      </c>
      <c r="P5" s="281"/>
      <c r="Q5" s="22" t="s">
        <v>219</v>
      </c>
      <c r="R5" s="280" t="s">
        <v>19</v>
      </c>
      <c r="S5" s="281"/>
      <c r="T5" s="28" t="s">
        <v>495</v>
      </c>
      <c r="U5" s="24" t="e">
        <v>#VALUE!</v>
      </c>
    </row>
    <row r="6" spans="2:21" ht="23.25" thickBot="1">
      <c r="B6" s="647"/>
      <c r="C6" s="9" t="s">
        <v>370</v>
      </c>
      <c r="D6" s="39" t="s">
        <v>497</v>
      </c>
      <c r="E6" s="209"/>
      <c r="F6" s="209"/>
      <c r="G6" s="209"/>
      <c r="H6" s="210"/>
      <c r="J6" s="654"/>
      <c r="K6" s="22" t="s">
        <v>215</v>
      </c>
      <c r="L6" s="280">
        <v>0</v>
      </c>
      <c r="M6" s="281"/>
      <c r="N6" s="23" t="s">
        <v>217</v>
      </c>
      <c r="O6" s="280">
        <v>0</v>
      </c>
      <c r="P6" s="281"/>
      <c r="Q6" s="22" t="s">
        <v>219</v>
      </c>
      <c r="R6" s="280">
        <v>0</v>
      </c>
      <c r="S6" s="281"/>
      <c r="T6" s="28" t="s">
        <v>495</v>
      </c>
      <c r="U6" s="24" t="s">
        <v>498</v>
      </c>
    </row>
    <row r="7" spans="2:21" ht="23.25" thickBot="1">
      <c r="B7" s="647"/>
      <c r="C7" s="9" t="s">
        <v>371</v>
      </c>
      <c r="D7" s="39" t="s">
        <v>499</v>
      </c>
      <c r="E7" s="209"/>
      <c r="F7" s="209"/>
      <c r="G7" s="209"/>
      <c r="H7" s="210"/>
      <c r="J7" s="654"/>
      <c r="K7" s="22" t="s">
        <v>215</v>
      </c>
      <c r="L7" s="280">
        <v>0</v>
      </c>
      <c r="M7" s="281"/>
      <c r="N7" s="23" t="s">
        <v>217</v>
      </c>
      <c r="O7" s="280">
        <v>0</v>
      </c>
      <c r="P7" s="281"/>
      <c r="Q7" s="22" t="s">
        <v>219</v>
      </c>
      <c r="R7" s="280">
        <v>1</v>
      </c>
      <c r="S7" s="281"/>
      <c r="T7" s="28" t="s">
        <v>495</v>
      </c>
      <c r="U7" s="24" t="s">
        <v>498</v>
      </c>
    </row>
    <row r="8" spans="2:21" ht="23.25" thickBot="1">
      <c r="B8" s="648"/>
      <c r="C8" s="12" t="s">
        <v>372</v>
      </c>
      <c r="D8" s="40" t="s">
        <v>500</v>
      </c>
      <c r="E8" s="209"/>
      <c r="F8" s="209"/>
      <c r="G8" s="209"/>
      <c r="H8" s="210"/>
      <c r="J8" s="654"/>
      <c r="K8" s="22" t="s">
        <v>215</v>
      </c>
      <c r="L8" s="280">
        <v>0</v>
      </c>
      <c r="M8" s="281"/>
      <c r="N8" s="23" t="s">
        <v>217</v>
      </c>
      <c r="O8" s="280">
        <v>0</v>
      </c>
      <c r="P8" s="281"/>
      <c r="Q8" s="22" t="s">
        <v>219</v>
      </c>
      <c r="R8" s="280">
        <v>2</v>
      </c>
      <c r="S8" s="281"/>
      <c r="T8" s="28" t="s">
        <v>495</v>
      </c>
      <c r="U8" s="24" t="s">
        <v>498</v>
      </c>
    </row>
    <row r="9" spans="2:21" ht="23.25" thickBot="1">
      <c r="B9" s="649" t="s">
        <v>324</v>
      </c>
      <c r="C9" s="11" t="s">
        <v>368</v>
      </c>
      <c r="D9" s="35" t="s">
        <v>501</v>
      </c>
      <c r="E9" s="207"/>
      <c r="F9" s="192" t="s">
        <v>498</v>
      </c>
      <c r="G9" s="192" t="s">
        <v>498</v>
      </c>
      <c r="H9" s="193" t="s">
        <v>498</v>
      </c>
      <c r="J9" s="654"/>
      <c r="K9" s="22" t="s">
        <v>215</v>
      </c>
      <c r="L9" s="280">
        <v>0</v>
      </c>
      <c r="M9" s="281"/>
      <c r="N9" s="23" t="s">
        <v>217</v>
      </c>
      <c r="O9" s="280">
        <v>0</v>
      </c>
      <c r="P9" s="281"/>
      <c r="Q9" s="22" t="s">
        <v>219</v>
      </c>
      <c r="R9" s="280">
        <v>3</v>
      </c>
      <c r="S9" s="281"/>
      <c r="T9" s="28" t="s">
        <v>495</v>
      </c>
      <c r="U9" s="24" t="s">
        <v>498</v>
      </c>
    </row>
    <row r="10" spans="2:21" ht="23.25" thickBot="1">
      <c r="B10" s="650"/>
      <c r="C10" s="9" t="s">
        <v>369</v>
      </c>
      <c r="D10" s="39" t="s">
        <v>502</v>
      </c>
      <c r="E10" s="209"/>
      <c r="F10" s="194" t="s">
        <v>498</v>
      </c>
      <c r="G10" s="194" t="s">
        <v>498</v>
      </c>
      <c r="H10" s="195" t="s">
        <v>498</v>
      </c>
      <c r="J10" s="654"/>
      <c r="K10" s="22" t="s">
        <v>215</v>
      </c>
      <c r="L10" s="280">
        <v>0</v>
      </c>
      <c r="M10" s="281"/>
      <c r="N10" s="23" t="s">
        <v>217</v>
      </c>
      <c r="O10" s="280">
        <v>1</v>
      </c>
      <c r="P10" s="281"/>
      <c r="Q10" s="22" t="s">
        <v>219</v>
      </c>
      <c r="R10" s="280">
        <v>0</v>
      </c>
      <c r="S10" s="281"/>
      <c r="T10" s="28" t="s">
        <v>495</v>
      </c>
      <c r="U10" s="24" t="s">
        <v>498</v>
      </c>
    </row>
    <row r="11" spans="2:21" ht="23.25" thickBot="1">
      <c r="B11" s="650"/>
      <c r="C11" s="9" t="s">
        <v>370</v>
      </c>
      <c r="D11" s="39" t="s">
        <v>503</v>
      </c>
      <c r="E11" s="209"/>
      <c r="F11" s="194" t="s">
        <v>498</v>
      </c>
      <c r="G11" s="194" t="s">
        <v>498</v>
      </c>
      <c r="H11" s="195" t="s">
        <v>498</v>
      </c>
      <c r="J11" s="654"/>
      <c r="K11" s="22" t="s">
        <v>215</v>
      </c>
      <c r="L11" s="280">
        <v>0</v>
      </c>
      <c r="M11" s="281"/>
      <c r="N11" s="23" t="s">
        <v>217</v>
      </c>
      <c r="O11" s="280">
        <v>1</v>
      </c>
      <c r="P11" s="281"/>
      <c r="Q11" s="22" t="s">
        <v>219</v>
      </c>
      <c r="R11" s="280">
        <v>1</v>
      </c>
      <c r="S11" s="281"/>
      <c r="T11" s="28" t="s">
        <v>495</v>
      </c>
      <c r="U11" s="24" t="s">
        <v>498</v>
      </c>
    </row>
    <row r="12" spans="2:21" ht="23.25" thickBot="1">
      <c r="B12" s="650"/>
      <c r="C12" s="9" t="s">
        <v>371</v>
      </c>
      <c r="D12" s="39" t="s">
        <v>504</v>
      </c>
      <c r="E12" s="209"/>
      <c r="F12" s="194" t="s">
        <v>498</v>
      </c>
      <c r="G12" s="194" t="s">
        <v>498</v>
      </c>
      <c r="H12" s="197" t="s">
        <v>505</v>
      </c>
      <c r="J12" s="654"/>
      <c r="K12" s="22" t="s">
        <v>215</v>
      </c>
      <c r="L12" s="280">
        <v>0</v>
      </c>
      <c r="M12" s="281"/>
      <c r="N12" s="23" t="s">
        <v>217</v>
      </c>
      <c r="O12" s="280">
        <v>1</v>
      </c>
      <c r="P12" s="281"/>
      <c r="Q12" s="22" t="s">
        <v>219</v>
      </c>
      <c r="R12" s="280">
        <v>2</v>
      </c>
      <c r="S12" s="281"/>
      <c r="T12" s="28" t="s">
        <v>495</v>
      </c>
      <c r="U12" s="24" t="s">
        <v>498</v>
      </c>
    </row>
    <row r="13" spans="2:21" ht="23.25" thickBot="1">
      <c r="B13" s="651"/>
      <c r="C13" s="12" t="s">
        <v>372</v>
      </c>
      <c r="D13" s="40" t="s">
        <v>506</v>
      </c>
      <c r="E13" s="209"/>
      <c r="F13" s="196" t="s">
        <v>498</v>
      </c>
      <c r="G13" s="198" t="s">
        <v>505</v>
      </c>
      <c r="H13" s="200" t="s">
        <v>507</v>
      </c>
      <c r="J13" s="654"/>
      <c r="K13" s="22" t="s">
        <v>215</v>
      </c>
      <c r="L13" s="280">
        <v>0</v>
      </c>
      <c r="M13" s="281"/>
      <c r="N13" s="23" t="s">
        <v>217</v>
      </c>
      <c r="O13" s="280">
        <v>1</v>
      </c>
      <c r="P13" s="281"/>
      <c r="Q13" s="22" t="s">
        <v>219</v>
      </c>
      <c r="R13" s="280">
        <v>3</v>
      </c>
      <c r="S13" s="281"/>
      <c r="T13" s="28" t="s">
        <v>495</v>
      </c>
      <c r="U13" s="24" t="s">
        <v>498</v>
      </c>
    </row>
    <row r="14" spans="2:21" ht="23.25" thickBot="1">
      <c r="B14" s="646" t="s">
        <v>325</v>
      </c>
      <c r="C14" s="11" t="s">
        <v>368</v>
      </c>
      <c r="D14" s="35" t="s">
        <v>508</v>
      </c>
      <c r="E14" s="207"/>
      <c r="F14" s="192" t="s">
        <v>498</v>
      </c>
      <c r="G14" s="192" t="s">
        <v>498</v>
      </c>
      <c r="H14" s="193" t="s">
        <v>498</v>
      </c>
      <c r="J14" s="654"/>
      <c r="K14" s="22" t="s">
        <v>215</v>
      </c>
      <c r="L14" s="280">
        <v>0</v>
      </c>
      <c r="M14" s="281"/>
      <c r="N14" s="23" t="s">
        <v>217</v>
      </c>
      <c r="O14" s="280">
        <v>2</v>
      </c>
      <c r="P14" s="281"/>
      <c r="Q14" s="22" t="s">
        <v>219</v>
      </c>
      <c r="R14" s="280">
        <v>0</v>
      </c>
      <c r="S14" s="281"/>
      <c r="T14" s="28" t="s">
        <v>495</v>
      </c>
      <c r="U14" s="24" t="s">
        <v>498</v>
      </c>
    </row>
    <row r="15" spans="2:21" ht="23.25" thickBot="1">
      <c r="B15" s="647"/>
      <c r="C15" s="9" t="s">
        <v>369</v>
      </c>
      <c r="D15" s="39" t="s">
        <v>509</v>
      </c>
      <c r="E15" s="209"/>
      <c r="F15" s="194" t="s">
        <v>498</v>
      </c>
      <c r="G15" s="194" t="s">
        <v>498</v>
      </c>
      <c r="H15" s="195" t="s">
        <v>498</v>
      </c>
      <c r="J15" s="654"/>
      <c r="K15" s="22" t="s">
        <v>215</v>
      </c>
      <c r="L15" s="280">
        <v>0</v>
      </c>
      <c r="M15" s="281"/>
      <c r="N15" s="23" t="s">
        <v>217</v>
      </c>
      <c r="O15" s="280">
        <v>2</v>
      </c>
      <c r="P15" s="281"/>
      <c r="Q15" s="22" t="s">
        <v>219</v>
      </c>
      <c r="R15" s="280">
        <v>1</v>
      </c>
      <c r="S15" s="281"/>
      <c r="T15" s="28" t="s">
        <v>495</v>
      </c>
      <c r="U15" s="24" t="s">
        <v>498</v>
      </c>
    </row>
    <row r="16" spans="2:21" ht="23.25" thickBot="1">
      <c r="B16" s="647"/>
      <c r="C16" s="9" t="s">
        <v>370</v>
      </c>
      <c r="D16" s="39" t="s">
        <v>510</v>
      </c>
      <c r="E16" s="209"/>
      <c r="F16" s="194" t="s">
        <v>498</v>
      </c>
      <c r="G16" s="194" t="s">
        <v>498</v>
      </c>
      <c r="H16" s="197" t="s">
        <v>505</v>
      </c>
      <c r="J16" s="654"/>
      <c r="K16" s="22" t="s">
        <v>215</v>
      </c>
      <c r="L16" s="280">
        <v>0</v>
      </c>
      <c r="M16" s="281"/>
      <c r="N16" s="23" t="s">
        <v>217</v>
      </c>
      <c r="O16" s="280">
        <v>2</v>
      </c>
      <c r="P16" s="281"/>
      <c r="Q16" s="22" t="s">
        <v>219</v>
      </c>
      <c r="R16" s="280">
        <v>2</v>
      </c>
      <c r="S16" s="281"/>
      <c r="T16" s="28" t="s">
        <v>495</v>
      </c>
      <c r="U16" s="24" t="s">
        <v>498</v>
      </c>
    </row>
    <row r="17" spans="2:21" ht="23.25" thickBot="1">
      <c r="B17" s="647"/>
      <c r="C17" s="9" t="s">
        <v>371</v>
      </c>
      <c r="D17" s="39" t="s">
        <v>511</v>
      </c>
      <c r="E17" s="209"/>
      <c r="F17" s="194" t="s">
        <v>498</v>
      </c>
      <c r="G17" s="199" t="s">
        <v>505</v>
      </c>
      <c r="H17" s="201" t="s">
        <v>507</v>
      </c>
      <c r="J17" s="654"/>
      <c r="K17" s="22" t="s">
        <v>215</v>
      </c>
      <c r="L17" s="280">
        <v>0</v>
      </c>
      <c r="M17" s="281"/>
      <c r="N17" s="23" t="s">
        <v>217</v>
      </c>
      <c r="O17" s="280">
        <v>2</v>
      </c>
      <c r="P17" s="281"/>
      <c r="Q17" s="22" t="s">
        <v>219</v>
      </c>
      <c r="R17" s="280">
        <v>3</v>
      </c>
      <c r="S17" s="281"/>
      <c r="T17" s="28" t="s">
        <v>495</v>
      </c>
      <c r="U17" s="24" t="s">
        <v>498</v>
      </c>
    </row>
    <row r="18" spans="2:21" ht="23.25" thickBot="1">
      <c r="B18" s="648"/>
      <c r="C18" s="12" t="s">
        <v>372</v>
      </c>
      <c r="D18" s="40" t="s">
        <v>512</v>
      </c>
      <c r="E18" s="209"/>
      <c r="F18" s="198" t="s">
        <v>505</v>
      </c>
      <c r="G18" s="202" t="s">
        <v>507</v>
      </c>
      <c r="H18" s="206" t="s">
        <v>219</v>
      </c>
      <c r="J18" s="654"/>
      <c r="K18" s="22" t="s">
        <v>215</v>
      </c>
      <c r="L18" s="280">
        <v>0</v>
      </c>
      <c r="M18" s="281"/>
      <c r="N18" s="23" t="s">
        <v>217</v>
      </c>
      <c r="O18" s="280">
        <v>3</v>
      </c>
      <c r="P18" s="281"/>
      <c r="Q18" s="22" t="s">
        <v>219</v>
      </c>
      <c r="R18" s="280">
        <v>0</v>
      </c>
      <c r="S18" s="281"/>
      <c r="T18" s="28" t="s">
        <v>495</v>
      </c>
      <c r="U18" s="24" t="s">
        <v>498</v>
      </c>
    </row>
    <row r="19" spans="2:21" ht="23.25" thickBot="1">
      <c r="B19" s="649" t="s">
        <v>326</v>
      </c>
      <c r="C19" s="11" t="s">
        <v>368</v>
      </c>
      <c r="D19" s="35" t="s">
        <v>513</v>
      </c>
      <c r="E19" s="207"/>
      <c r="F19" s="192" t="s">
        <v>498</v>
      </c>
      <c r="G19" s="192" t="s">
        <v>498</v>
      </c>
      <c r="H19" s="193" t="s">
        <v>498</v>
      </c>
      <c r="J19" s="654"/>
      <c r="K19" s="22" t="s">
        <v>215</v>
      </c>
      <c r="L19" s="280">
        <v>0</v>
      </c>
      <c r="M19" s="281"/>
      <c r="N19" s="23" t="s">
        <v>217</v>
      </c>
      <c r="O19" s="280">
        <v>3</v>
      </c>
      <c r="P19" s="281"/>
      <c r="Q19" s="22" t="s">
        <v>219</v>
      </c>
      <c r="R19" s="280">
        <v>1</v>
      </c>
      <c r="S19" s="281"/>
      <c r="T19" s="28" t="s">
        <v>495</v>
      </c>
      <c r="U19" s="24" t="s">
        <v>498</v>
      </c>
    </row>
    <row r="20" spans="2:21" ht="23.25" thickBot="1">
      <c r="B20" s="650"/>
      <c r="C20" s="9" t="s">
        <v>369</v>
      </c>
      <c r="D20" s="39" t="s">
        <v>514</v>
      </c>
      <c r="E20" s="209"/>
      <c r="F20" s="194" t="s">
        <v>498</v>
      </c>
      <c r="G20" s="194" t="s">
        <v>498</v>
      </c>
      <c r="H20" s="197" t="s">
        <v>505</v>
      </c>
      <c r="J20" s="654"/>
      <c r="K20" s="22" t="s">
        <v>215</v>
      </c>
      <c r="L20" s="280">
        <v>0</v>
      </c>
      <c r="M20" s="281"/>
      <c r="N20" s="23" t="s">
        <v>217</v>
      </c>
      <c r="O20" s="280">
        <v>3</v>
      </c>
      <c r="P20" s="281"/>
      <c r="Q20" s="22" t="s">
        <v>219</v>
      </c>
      <c r="R20" s="280">
        <v>2</v>
      </c>
      <c r="S20" s="281"/>
      <c r="T20" s="28" t="s">
        <v>495</v>
      </c>
      <c r="U20" s="24" t="s">
        <v>498</v>
      </c>
    </row>
    <row r="21" spans="2:21" ht="23.25" thickBot="1">
      <c r="B21" s="650"/>
      <c r="C21" s="9" t="s">
        <v>370</v>
      </c>
      <c r="D21" s="39" t="s">
        <v>515</v>
      </c>
      <c r="E21" s="209"/>
      <c r="F21" s="194" t="s">
        <v>498</v>
      </c>
      <c r="G21" s="199" t="s">
        <v>505</v>
      </c>
      <c r="H21" s="201" t="s">
        <v>507</v>
      </c>
      <c r="J21" s="654"/>
      <c r="K21" s="22" t="s">
        <v>215</v>
      </c>
      <c r="L21" s="280">
        <v>0</v>
      </c>
      <c r="M21" s="281"/>
      <c r="N21" s="23" t="s">
        <v>217</v>
      </c>
      <c r="O21" s="280">
        <v>3</v>
      </c>
      <c r="P21" s="281"/>
      <c r="Q21" s="22" t="s">
        <v>219</v>
      </c>
      <c r="R21" s="280">
        <v>3</v>
      </c>
      <c r="S21" s="281"/>
      <c r="T21" s="28" t="s">
        <v>495</v>
      </c>
      <c r="U21" s="24" t="s">
        <v>498</v>
      </c>
    </row>
    <row r="22" spans="2:21" ht="23.25" thickBot="1">
      <c r="B22" s="650"/>
      <c r="C22" s="9" t="s">
        <v>371</v>
      </c>
      <c r="D22" s="39" t="s">
        <v>516</v>
      </c>
      <c r="E22" s="209"/>
      <c r="F22" s="199" t="s">
        <v>505</v>
      </c>
      <c r="G22" s="203" t="s">
        <v>507</v>
      </c>
      <c r="H22" s="204" t="s">
        <v>219</v>
      </c>
      <c r="J22" s="654"/>
      <c r="K22" s="22" t="s">
        <v>215</v>
      </c>
      <c r="L22" s="280">
        <v>0</v>
      </c>
      <c r="M22" s="281"/>
      <c r="N22" s="23" t="s">
        <v>217</v>
      </c>
      <c r="O22" s="280">
        <v>4</v>
      </c>
      <c r="P22" s="281"/>
      <c r="Q22" s="22" t="s">
        <v>219</v>
      </c>
      <c r="R22" s="280">
        <v>0</v>
      </c>
      <c r="S22" s="281"/>
      <c r="T22" s="28" t="s">
        <v>495</v>
      </c>
      <c r="U22" s="24" t="s">
        <v>498</v>
      </c>
    </row>
    <row r="23" spans="2:21" ht="23.25" thickBot="1">
      <c r="B23" s="651"/>
      <c r="C23" s="12" t="s">
        <v>372</v>
      </c>
      <c r="D23" s="40" t="s">
        <v>517</v>
      </c>
      <c r="E23" s="209"/>
      <c r="F23" s="202" t="s">
        <v>507</v>
      </c>
      <c r="G23" s="205" t="s">
        <v>219</v>
      </c>
      <c r="H23" s="13" t="s">
        <v>518</v>
      </c>
      <c r="J23" s="654"/>
      <c r="K23" s="22" t="s">
        <v>215</v>
      </c>
      <c r="L23" s="280">
        <v>0</v>
      </c>
      <c r="M23" s="281"/>
      <c r="N23" s="23" t="s">
        <v>217</v>
      </c>
      <c r="O23" s="280">
        <v>4</v>
      </c>
      <c r="P23" s="281"/>
      <c r="Q23" s="22" t="s">
        <v>219</v>
      </c>
      <c r="R23" s="280">
        <v>1</v>
      </c>
      <c r="S23" s="281"/>
      <c r="T23" s="28" t="s">
        <v>495</v>
      </c>
      <c r="U23" s="24" t="s">
        <v>498</v>
      </c>
    </row>
    <row r="24" spans="2:21" ht="22.5">
      <c r="J24" s="654"/>
      <c r="K24" s="22" t="s">
        <v>215</v>
      </c>
      <c r="L24" s="280">
        <v>0</v>
      </c>
      <c r="M24" s="281"/>
      <c r="N24" s="23" t="s">
        <v>217</v>
      </c>
      <c r="O24" s="280">
        <v>4</v>
      </c>
      <c r="P24" s="281"/>
      <c r="Q24" s="22" t="s">
        <v>219</v>
      </c>
      <c r="R24" s="280">
        <v>2</v>
      </c>
      <c r="S24" s="281"/>
      <c r="T24" s="28" t="s">
        <v>495</v>
      </c>
      <c r="U24" s="24" t="s">
        <v>498</v>
      </c>
    </row>
    <row r="25" spans="2:21" ht="22.5">
      <c r="J25" s="654"/>
      <c r="K25" s="22" t="s">
        <v>215</v>
      </c>
      <c r="L25" s="280">
        <v>1</v>
      </c>
      <c r="M25" s="281"/>
      <c r="N25" s="23" t="s">
        <v>217</v>
      </c>
      <c r="O25" s="280">
        <v>0</v>
      </c>
      <c r="P25" s="281"/>
      <c r="Q25" s="22" t="s">
        <v>219</v>
      </c>
      <c r="R25" s="280">
        <v>0</v>
      </c>
      <c r="S25" s="281"/>
      <c r="T25" s="28" t="s">
        <v>495</v>
      </c>
      <c r="U25" s="24" t="s">
        <v>498</v>
      </c>
    </row>
    <row r="26" spans="2:21" ht="22.5">
      <c r="J26" s="654"/>
      <c r="K26" s="22" t="s">
        <v>215</v>
      </c>
      <c r="L26" s="280">
        <v>1</v>
      </c>
      <c r="M26" s="281"/>
      <c r="N26" s="23" t="s">
        <v>217</v>
      </c>
      <c r="O26" s="280">
        <v>0</v>
      </c>
      <c r="P26" s="281"/>
      <c r="Q26" s="22" t="s">
        <v>219</v>
      </c>
      <c r="R26" s="280">
        <v>1</v>
      </c>
      <c r="S26" s="281"/>
      <c r="T26" s="28" t="s">
        <v>495</v>
      </c>
      <c r="U26" s="24" t="s">
        <v>498</v>
      </c>
    </row>
    <row r="27" spans="2:21" ht="22.5">
      <c r="J27" s="654"/>
      <c r="K27" s="22" t="s">
        <v>215</v>
      </c>
      <c r="L27" s="280">
        <v>1</v>
      </c>
      <c r="M27" s="281"/>
      <c r="N27" s="23" t="s">
        <v>217</v>
      </c>
      <c r="O27" s="280">
        <v>0</v>
      </c>
      <c r="P27" s="281"/>
      <c r="Q27" s="22" t="s">
        <v>219</v>
      </c>
      <c r="R27" s="280">
        <v>2</v>
      </c>
      <c r="S27" s="281"/>
      <c r="T27" s="28" t="s">
        <v>495</v>
      </c>
      <c r="U27" s="24" t="s">
        <v>498</v>
      </c>
    </row>
    <row r="28" spans="2:21" ht="22.5">
      <c r="J28" s="654"/>
      <c r="K28" s="22" t="s">
        <v>215</v>
      </c>
      <c r="L28" s="280">
        <v>1</v>
      </c>
      <c r="M28" s="281"/>
      <c r="N28" s="23" t="s">
        <v>217</v>
      </c>
      <c r="O28" s="280">
        <v>0</v>
      </c>
      <c r="P28" s="281"/>
      <c r="Q28" s="22" t="s">
        <v>219</v>
      </c>
      <c r="R28" s="280">
        <v>3</v>
      </c>
      <c r="S28" s="281"/>
      <c r="T28" s="28" t="s">
        <v>495</v>
      </c>
      <c r="U28" s="24" t="s">
        <v>498</v>
      </c>
    </row>
    <row r="29" spans="2:21" ht="22.5">
      <c r="J29" s="654"/>
      <c r="K29" s="22" t="s">
        <v>215</v>
      </c>
      <c r="L29" s="280">
        <v>1</v>
      </c>
      <c r="M29" s="281"/>
      <c r="N29" s="23" t="s">
        <v>217</v>
      </c>
      <c r="O29" s="280">
        <v>1</v>
      </c>
      <c r="P29" s="281"/>
      <c r="Q29" s="22" t="s">
        <v>219</v>
      </c>
      <c r="R29" s="280">
        <v>0</v>
      </c>
      <c r="S29" s="281"/>
      <c r="T29" s="28" t="s">
        <v>495</v>
      </c>
      <c r="U29" s="24" t="s">
        <v>498</v>
      </c>
    </row>
    <row r="30" spans="2:21" ht="22.5">
      <c r="J30" s="654"/>
      <c r="K30" s="22" t="s">
        <v>215</v>
      </c>
      <c r="L30" s="280">
        <v>1</v>
      </c>
      <c r="M30" s="281"/>
      <c r="N30" s="23" t="s">
        <v>217</v>
      </c>
      <c r="O30" s="280">
        <v>1</v>
      </c>
      <c r="P30" s="281"/>
      <c r="Q30" s="22" t="s">
        <v>219</v>
      </c>
      <c r="R30" s="280">
        <v>1</v>
      </c>
      <c r="S30" s="281"/>
      <c r="T30" s="28" t="s">
        <v>495</v>
      </c>
      <c r="U30" s="24" t="s">
        <v>498</v>
      </c>
    </row>
    <row r="31" spans="2:21" ht="22.5">
      <c r="J31" s="654"/>
      <c r="K31" s="22" t="s">
        <v>215</v>
      </c>
      <c r="L31" s="280">
        <v>1</v>
      </c>
      <c r="M31" s="281"/>
      <c r="N31" s="23" t="s">
        <v>217</v>
      </c>
      <c r="O31" s="280">
        <v>1</v>
      </c>
      <c r="P31" s="281"/>
      <c r="Q31" s="22" t="s">
        <v>219</v>
      </c>
      <c r="R31" s="280">
        <v>2</v>
      </c>
      <c r="S31" s="281"/>
      <c r="T31" s="28" t="s">
        <v>495</v>
      </c>
      <c r="U31" s="24" t="s">
        <v>498</v>
      </c>
    </row>
    <row r="32" spans="2:21" ht="22.5">
      <c r="J32" s="654"/>
      <c r="K32" s="22" t="s">
        <v>215</v>
      </c>
      <c r="L32" s="280">
        <v>1</v>
      </c>
      <c r="M32" s="281"/>
      <c r="N32" s="23" t="s">
        <v>217</v>
      </c>
      <c r="O32" s="280">
        <v>1</v>
      </c>
      <c r="P32" s="281"/>
      <c r="Q32" s="22" t="s">
        <v>219</v>
      </c>
      <c r="R32" s="280">
        <v>3</v>
      </c>
      <c r="S32" s="281"/>
      <c r="T32" s="28" t="s">
        <v>495</v>
      </c>
      <c r="U32" s="24" t="s">
        <v>498</v>
      </c>
    </row>
    <row r="33" spans="10:21" ht="22.5">
      <c r="J33" s="654"/>
      <c r="K33" s="22" t="s">
        <v>215</v>
      </c>
      <c r="L33" s="280">
        <v>1</v>
      </c>
      <c r="M33" s="281"/>
      <c r="N33" s="23" t="s">
        <v>217</v>
      </c>
      <c r="O33" s="280">
        <v>2</v>
      </c>
      <c r="P33" s="281"/>
      <c r="Q33" s="22" t="s">
        <v>219</v>
      </c>
      <c r="R33" s="280">
        <v>0</v>
      </c>
      <c r="S33" s="281"/>
      <c r="T33" s="28" t="s">
        <v>495</v>
      </c>
      <c r="U33" s="24" t="s">
        <v>498</v>
      </c>
    </row>
    <row r="34" spans="10:21" ht="22.5">
      <c r="J34" s="654"/>
      <c r="K34" s="22" t="s">
        <v>215</v>
      </c>
      <c r="L34" s="280">
        <v>1</v>
      </c>
      <c r="M34" s="281"/>
      <c r="N34" s="23" t="s">
        <v>217</v>
      </c>
      <c r="O34" s="280">
        <v>2</v>
      </c>
      <c r="P34" s="281"/>
      <c r="Q34" s="22" t="s">
        <v>219</v>
      </c>
      <c r="R34" s="280">
        <v>1</v>
      </c>
      <c r="S34" s="281"/>
      <c r="T34" s="28" t="s">
        <v>495</v>
      </c>
      <c r="U34" s="24" t="s">
        <v>498</v>
      </c>
    </row>
    <row r="35" spans="10:21" ht="22.5">
      <c r="J35" s="654"/>
      <c r="K35" s="22" t="s">
        <v>215</v>
      </c>
      <c r="L35" s="280">
        <v>1</v>
      </c>
      <c r="M35" s="281"/>
      <c r="N35" s="23" t="s">
        <v>217</v>
      </c>
      <c r="O35" s="280">
        <v>2</v>
      </c>
      <c r="P35" s="281"/>
      <c r="Q35" s="22" t="s">
        <v>219</v>
      </c>
      <c r="R35" s="280">
        <v>2</v>
      </c>
      <c r="S35" s="281"/>
      <c r="T35" s="28" t="s">
        <v>495</v>
      </c>
      <c r="U35" s="24" t="s">
        <v>498</v>
      </c>
    </row>
    <row r="36" spans="10:21" ht="22.5">
      <c r="J36" s="654"/>
      <c r="K36" s="22" t="s">
        <v>215</v>
      </c>
      <c r="L36" s="280">
        <v>1</v>
      </c>
      <c r="M36" s="281"/>
      <c r="N36" s="23" t="s">
        <v>217</v>
      </c>
      <c r="O36" s="280">
        <v>2</v>
      </c>
      <c r="P36" s="281"/>
      <c r="Q36" s="22" t="s">
        <v>219</v>
      </c>
      <c r="R36" s="280">
        <v>3</v>
      </c>
      <c r="S36" s="281"/>
      <c r="T36" s="28" t="s">
        <v>495</v>
      </c>
      <c r="U36" s="24" t="s">
        <v>498</v>
      </c>
    </row>
    <row r="37" spans="10:21" ht="22.5">
      <c r="J37" s="654"/>
      <c r="K37" s="22" t="s">
        <v>215</v>
      </c>
      <c r="L37" s="280">
        <v>1</v>
      </c>
      <c r="M37" s="281"/>
      <c r="N37" s="23" t="s">
        <v>217</v>
      </c>
      <c r="O37" s="280">
        <v>3</v>
      </c>
      <c r="P37" s="281"/>
      <c r="Q37" s="22" t="s">
        <v>219</v>
      </c>
      <c r="R37" s="280">
        <v>0</v>
      </c>
      <c r="S37" s="281"/>
      <c r="T37" s="28" t="s">
        <v>495</v>
      </c>
      <c r="U37" s="24" t="s">
        <v>498</v>
      </c>
    </row>
    <row r="38" spans="10:21" ht="22.5">
      <c r="J38" s="654"/>
      <c r="K38" s="22" t="s">
        <v>215</v>
      </c>
      <c r="L38" s="280">
        <v>1</v>
      </c>
      <c r="M38" s="281"/>
      <c r="N38" s="23" t="s">
        <v>217</v>
      </c>
      <c r="O38" s="280">
        <v>3</v>
      </c>
      <c r="P38" s="281"/>
      <c r="Q38" s="22" t="s">
        <v>219</v>
      </c>
      <c r="R38" s="280">
        <v>1</v>
      </c>
      <c r="S38" s="281"/>
      <c r="T38" s="28" t="s">
        <v>495</v>
      </c>
      <c r="U38" s="24" t="s">
        <v>498</v>
      </c>
    </row>
    <row r="39" spans="10:21" ht="22.5">
      <c r="J39" s="654"/>
      <c r="K39" s="22" t="s">
        <v>215</v>
      </c>
      <c r="L39" s="280">
        <v>1</v>
      </c>
      <c r="M39" s="281"/>
      <c r="N39" s="23" t="s">
        <v>217</v>
      </c>
      <c r="O39" s="280">
        <v>3</v>
      </c>
      <c r="P39" s="281"/>
      <c r="Q39" s="22" t="s">
        <v>219</v>
      </c>
      <c r="R39" s="280">
        <v>2</v>
      </c>
      <c r="S39" s="281"/>
      <c r="T39" s="28" t="s">
        <v>495</v>
      </c>
      <c r="U39" s="24" t="s">
        <v>498</v>
      </c>
    </row>
    <row r="40" spans="10:21" ht="22.5">
      <c r="J40" s="654"/>
      <c r="K40" s="22" t="s">
        <v>215</v>
      </c>
      <c r="L40" s="280">
        <v>1</v>
      </c>
      <c r="M40" s="281"/>
      <c r="N40" s="23" t="s">
        <v>217</v>
      </c>
      <c r="O40" s="280">
        <v>3</v>
      </c>
      <c r="P40" s="281"/>
      <c r="Q40" s="22" t="s">
        <v>219</v>
      </c>
      <c r="R40" s="280">
        <v>3</v>
      </c>
      <c r="S40" s="281"/>
      <c r="T40" s="28" t="s">
        <v>495</v>
      </c>
      <c r="U40" s="24" t="s">
        <v>505</v>
      </c>
    </row>
    <row r="41" spans="10:21" ht="22.5">
      <c r="J41" s="654"/>
      <c r="K41" s="22" t="s">
        <v>215</v>
      </c>
      <c r="L41" s="280">
        <v>1</v>
      </c>
      <c r="M41" s="281"/>
      <c r="N41" s="23" t="s">
        <v>217</v>
      </c>
      <c r="O41" s="280">
        <v>4</v>
      </c>
      <c r="P41" s="281"/>
      <c r="Q41" s="22" t="s">
        <v>219</v>
      </c>
      <c r="R41" s="280">
        <v>0</v>
      </c>
      <c r="S41" s="281"/>
      <c r="T41" s="28" t="s">
        <v>495</v>
      </c>
      <c r="U41" s="24" t="s">
        <v>498</v>
      </c>
    </row>
    <row r="42" spans="10:21" ht="22.5">
      <c r="J42" s="654"/>
      <c r="K42" s="22" t="s">
        <v>215</v>
      </c>
      <c r="L42" s="280">
        <v>1</v>
      </c>
      <c r="M42" s="281"/>
      <c r="N42" s="23" t="s">
        <v>217</v>
      </c>
      <c r="O42" s="280">
        <v>4</v>
      </c>
      <c r="P42" s="281"/>
      <c r="Q42" s="22" t="s">
        <v>219</v>
      </c>
      <c r="R42" s="280">
        <v>1</v>
      </c>
      <c r="S42" s="281"/>
      <c r="T42" s="28" t="s">
        <v>495</v>
      </c>
      <c r="U42" s="24" t="s">
        <v>498</v>
      </c>
    </row>
    <row r="43" spans="10:21" ht="22.5">
      <c r="J43" s="654"/>
      <c r="K43" s="22" t="s">
        <v>215</v>
      </c>
      <c r="L43" s="280">
        <v>1</v>
      </c>
      <c r="M43" s="281"/>
      <c r="N43" s="23" t="s">
        <v>217</v>
      </c>
      <c r="O43" s="280">
        <v>4</v>
      </c>
      <c r="P43" s="281"/>
      <c r="Q43" s="22" t="s">
        <v>219</v>
      </c>
      <c r="R43" s="280">
        <v>2</v>
      </c>
      <c r="S43" s="281"/>
      <c r="T43" s="28" t="s">
        <v>495</v>
      </c>
      <c r="U43" s="24" t="s">
        <v>505</v>
      </c>
    </row>
    <row r="44" spans="10:21" ht="22.5">
      <c r="J44" s="654"/>
      <c r="K44" s="22" t="s">
        <v>215</v>
      </c>
      <c r="L44" s="280">
        <v>1</v>
      </c>
      <c r="M44" s="281"/>
      <c r="N44" s="23" t="s">
        <v>217</v>
      </c>
      <c r="O44" s="280">
        <v>4</v>
      </c>
      <c r="P44" s="281"/>
      <c r="Q44" s="22" t="s">
        <v>219</v>
      </c>
      <c r="R44" s="280">
        <v>3</v>
      </c>
      <c r="S44" s="281"/>
      <c r="T44" s="28" t="s">
        <v>495</v>
      </c>
      <c r="U44" s="24" t="s">
        <v>507</v>
      </c>
    </row>
    <row r="45" spans="10:21" ht="22.5">
      <c r="J45" s="654"/>
      <c r="K45" s="22" t="s">
        <v>215</v>
      </c>
      <c r="L45" s="280">
        <v>2</v>
      </c>
      <c r="M45" s="281"/>
      <c r="N45" s="23" t="s">
        <v>217</v>
      </c>
      <c r="O45" s="280">
        <v>0</v>
      </c>
      <c r="P45" s="281"/>
      <c r="Q45" s="22" t="s">
        <v>219</v>
      </c>
      <c r="R45" s="280">
        <v>0</v>
      </c>
      <c r="S45" s="281"/>
      <c r="T45" s="28" t="s">
        <v>495</v>
      </c>
      <c r="U45" s="24" t="s">
        <v>498</v>
      </c>
    </row>
    <row r="46" spans="10:21" ht="22.5">
      <c r="J46" s="654"/>
      <c r="K46" s="22" t="s">
        <v>215</v>
      </c>
      <c r="L46" s="280">
        <v>2</v>
      </c>
      <c r="M46" s="281"/>
      <c r="N46" s="23" t="s">
        <v>217</v>
      </c>
      <c r="O46" s="280">
        <v>0</v>
      </c>
      <c r="P46" s="281"/>
      <c r="Q46" s="22" t="s">
        <v>219</v>
      </c>
      <c r="R46" s="280">
        <v>1</v>
      </c>
      <c r="S46" s="281"/>
      <c r="T46" s="28" t="s">
        <v>495</v>
      </c>
      <c r="U46" s="24" t="s">
        <v>498</v>
      </c>
    </row>
    <row r="47" spans="10:21" ht="22.5">
      <c r="J47" s="654"/>
      <c r="K47" s="22" t="s">
        <v>215</v>
      </c>
      <c r="L47" s="280">
        <v>2</v>
      </c>
      <c r="M47" s="281"/>
      <c r="N47" s="23" t="s">
        <v>217</v>
      </c>
      <c r="O47" s="280">
        <v>0</v>
      </c>
      <c r="P47" s="281"/>
      <c r="Q47" s="22" t="s">
        <v>219</v>
      </c>
      <c r="R47" s="280">
        <v>2</v>
      </c>
      <c r="S47" s="281"/>
      <c r="T47" s="28" t="s">
        <v>495</v>
      </c>
      <c r="U47" s="24" t="s">
        <v>498</v>
      </c>
    </row>
    <row r="48" spans="10:21" ht="22.5">
      <c r="J48" s="654"/>
      <c r="K48" s="22" t="s">
        <v>215</v>
      </c>
      <c r="L48" s="280">
        <v>2</v>
      </c>
      <c r="M48" s="281"/>
      <c r="N48" s="23" t="s">
        <v>217</v>
      </c>
      <c r="O48" s="280">
        <v>0</v>
      </c>
      <c r="P48" s="281"/>
      <c r="Q48" s="22" t="s">
        <v>219</v>
      </c>
      <c r="R48" s="280">
        <v>3</v>
      </c>
      <c r="S48" s="281"/>
      <c r="T48" s="28" t="s">
        <v>495</v>
      </c>
      <c r="U48" s="24" t="s">
        <v>498</v>
      </c>
    </row>
    <row r="49" spans="10:21" ht="22.5">
      <c r="J49" s="654"/>
      <c r="K49" s="22" t="s">
        <v>215</v>
      </c>
      <c r="L49" s="280">
        <v>2</v>
      </c>
      <c r="M49" s="281"/>
      <c r="N49" s="23" t="s">
        <v>217</v>
      </c>
      <c r="O49" s="280">
        <v>1</v>
      </c>
      <c r="P49" s="281"/>
      <c r="Q49" s="22" t="s">
        <v>219</v>
      </c>
      <c r="R49" s="280">
        <v>0</v>
      </c>
      <c r="S49" s="281"/>
      <c r="T49" s="28" t="s">
        <v>495</v>
      </c>
      <c r="U49" s="24" t="s">
        <v>498</v>
      </c>
    </row>
    <row r="50" spans="10:21" ht="22.5">
      <c r="J50" s="654"/>
      <c r="K50" s="22" t="s">
        <v>215</v>
      </c>
      <c r="L50" s="280">
        <v>2</v>
      </c>
      <c r="M50" s="281"/>
      <c r="N50" s="23" t="s">
        <v>217</v>
      </c>
      <c r="O50" s="280">
        <v>1</v>
      </c>
      <c r="P50" s="281"/>
      <c r="Q50" s="22" t="s">
        <v>219</v>
      </c>
      <c r="R50" s="280">
        <v>1</v>
      </c>
      <c r="S50" s="281"/>
      <c r="T50" s="28" t="s">
        <v>495</v>
      </c>
      <c r="U50" s="24" t="s">
        <v>498</v>
      </c>
    </row>
    <row r="51" spans="10:21" ht="22.5">
      <c r="J51" s="654"/>
      <c r="K51" s="22" t="s">
        <v>215</v>
      </c>
      <c r="L51" s="280">
        <v>2</v>
      </c>
      <c r="M51" s="281"/>
      <c r="N51" s="23" t="s">
        <v>217</v>
      </c>
      <c r="O51" s="280">
        <v>1</v>
      </c>
      <c r="P51" s="281"/>
      <c r="Q51" s="22" t="s">
        <v>219</v>
      </c>
      <c r="R51" s="280">
        <v>2</v>
      </c>
      <c r="S51" s="281"/>
      <c r="T51" s="28" t="s">
        <v>495</v>
      </c>
      <c r="U51" s="24" t="s">
        <v>498</v>
      </c>
    </row>
    <row r="52" spans="10:21" ht="22.5">
      <c r="J52" s="654"/>
      <c r="K52" s="22" t="s">
        <v>215</v>
      </c>
      <c r="L52" s="280">
        <v>2</v>
      </c>
      <c r="M52" s="281"/>
      <c r="N52" s="23" t="s">
        <v>217</v>
      </c>
      <c r="O52" s="280">
        <v>1</v>
      </c>
      <c r="P52" s="281"/>
      <c r="Q52" s="22" t="s">
        <v>219</v>
      </c>
      <c r="R52" s="280">
        <v>3</v>
      </c>
      <c r="S52" s="281"/>
      <c r="T52" s="28" t="s">
        <v>495</v>
      </c>
      <c r="U52" s="24" t="s">
        <v>498</v>
      </c>
    </row>
    <row r="53" spans="10:21" ht="22.5">
      <c r="J53" s="654"/>
      <c r="K53" s="22" t="s">
        <v>215</v>
      </c>
      <c r="L53" s="280">
        <v>2</v>
      </c>
      <c r="M53" s="281"/>
      <c r="N53" s="23" t="s">
        <v>217</v>
      </c>
      <c r="O53" s="280">
        <v>2</v>
      </c>
      <c r="P53" s="281"/>
      <c r="Q53" s="22" t="s">
        <v>219</v>
      </c>
      <c r="R53" s="280">
        <v>0</v>
      </c>
      <c r="S53" s="281"/>
      <c r="T53" s="28" t="s">
        <v>495</v>
      </c>
      <c r="U53" s="24" t="s">
        <v>498</v>
      </c>
    </row>
    <row r="54" spans="10:21" ht="22.5">
      <c r="J54" s="654"/>
      <c r="K54" s="22" t="s">
        <v>215</v>
      </c>
      <c r="L54" s="280">
        <v>2</v>
      </c>
      <c r="M54" s="281"/>
      <c r="N54" s="23" t="s">
        <v>217</v>
      </c>
      <c r="O54" s="280">
        <v>2</v>
      </c>
      <c r="P54" s="281"/>
      <c r="Q54" s="22" t="s">
        <v>219</v>
      </c>
      <c r="R54" s="280">
        <v>1</v>
      </c>
      <c r="S54" s="281"/>
      <c r="T54" s="28" t="s">
        <v>495</v>
      </c>
      <c r="U54" s="24" t="s">
        <v>498</v>
      </c>
    </row>
    <row r="55" spans="10:21" ht="22.5">
      <c r="J55" s="654"/>
      <c r="K55" s="22" t="s">
        <v>215</v>
      </c>
      <c r="L55" s="280">
        <v>2</v>
      </c>
      <c r="M55" s="281"/>
      <c r="N55" s="23" t="s">
        <v>217</v>
      </c>
      <c r="O55" s="280">
        <v>2</v>
      </c>
      <c r="P55" s="281"/>
      <c r="Q55" s="22" t="s">
        <v>219</v>
      </c>
      <c r="R55" s="280">
        <v>2</v>
      </c>
      <c r="S55" s="281"/>
      <c r="T55" s="28" t="s">
        <v>495</v>
      </c>
      <c r="U55" s="24" t="s">
        <v>498</v>
      </c>
    </row>
    <row r="56" spans="10:21" ht="22.5">
      <c r="J56" s="654"/>
      <c r="K56" s="22" t="s">
        <v>215</v>
      </c>
      <c r="L56" s="280">
        <v>2</v>
      </c>
      <c r="M56" s="281"/>
      <c r="N56" s="23" t="s">
        <v>217</v>
      </c>
      <c r="O56" s="280">
        <v>2</v>
      </c>
      <c r="P56" s="281"/>
      <c r="Q56" s="22" t="s">
        <v>219</v>
      </c>
      <c r="R56" s="280">
        <v>3</v>
      </c>
      <c r="S56" s="281"/>
      <c r="T56" s="28" t="s">
        <v>495</v>
      </c>
      <c r="U56" s="24" t="s">
        <v>505</v>
      </c>
    </row>
    <row r="57" spans="10:21" ht="22.5">
      <c r="J57" s="654"/>
      <c r="K57" s="22" t="s">
        <v>215</v>
      </c>
      <c r="L57" s="280">
        <v>2</v>
      </c>
      <c r="M57" s="281"/>
      <c r="N57" s="23" t="s">
        <v>217</v>
      </c>
      <c r="O57" s="280">
        <v>3</v>
      </c>
      <c r="P57" s="281"/>
      <c r="Q57" s="22" t="s">
        <v>219</v>
      </c>
      <c r="R57" s="280">
        <v>0</v>
      </c>
      <c r="S57" s="281"/>
      <c r="T57" s="28" t="s">
        <v>495</v>
      </c>
      <c r="U57" s="24" t="s">
        <v>498</v>
      </c>
    </row>
    <row r="58" spans="10:21" ht="22.5">
      <c r="J58" s="654"/>
      <c r="K58" s="22" t="s">
        <v>215</v>
      </c>
      <c r="L58" s="280">
        <v>2</v>
      </c>
      <c r="M58" s="281"/>
      <c r="N58" s="23" t="s">
        <v>217</v>
      </c>
      <c r="O58" s="280">
        <v>3</v>
      </c>
      <c r="P58" s="281"/>
      <c r="Q58" s="22" t="s">
        <v>219</v>
      </c>
      <c r="R58" s="280">
        <v>1</v>
      </c>
      <c r="S58" s="281"/>
      <c r="T58" s="28" t="s">
        <v>495</v>
      </c>
      <c r="U58" s="24" t="s">
        <v>498</v>
      </c>
    </row>
    <row r="59" spans="10:21" ht="22.5">
      <c r="J59" s="654"/>
      <c r="K59" s="22" t="s">
        <v>215</v>
      </c>
      <c r="L59" s="280">
        <v>2</v>
      </c>
      <c r="M59" s="281"/>
      <c r="N59" s="23" t="s">
        <v>217</v>
      </c>
      <c r="O59" s="280">
        <v>3</v>
      </c>
      <c r="P59" s="281"/>
      <c r="Q59" s="22" t="s">
        <v>219</v>
      </c>
      <c r="R59" s="280">
        <v>2</v>
      </c>
      <c r="S59" s="281"/>
      <c r="T59" s="28" t="s">
        <v>495</v>
      </c>
      <c r="U59" s="24" t="s">
        <v>505</v>
      </c>
    </row>
    <row r="60" spans="10:21" ht="22.5">
      <c r="J60" s="654"/>
      <c r="K60" s="22" t="s">
        <v>215</v>
      </c>
      <c r="L60" s="280">
        <v>2</v>
      </c>
      <c r="M60" s="281"/>
      <c r="N60" s="23" t="s">
        <v>217</v>
      </c>
      <c r="O60" s="280">
        <v>3</v>
      </c>
      <c r="P60" s="281"/>
      <c r="Q60" s="22" t="s">
        <v>219</v>
      </c>
      <c r="R60" s="280">
        <v>3</v>
      </c>
      <c r="S60" s="281"/>
      <c r="T60" s="28" t="s">
        <v>495</v>
      </c>
      <c r="U60" s="24" t="s">
        <v>507</v>
      </c>
    </row>
    <row r="61" spans="10:21" ht="22.5">
      <c r="J61" s="654"/>
      <c r="K61" s="22" t="s">
        <v>215</v>
      </c>
      <c r="L61" s="280">
        <v>2</v>
      </c>
      <c r="M61" s="281"/>
      <c r="N61" s="23" t="s">
        <v>217</v>
      </c>
      <c r="O61" s="280">
        <v>4</v>
      </c>
      <c r="P61" s="281"/>
      <c r="Q61" s="22" t="s">
        <v>219</v>
      </c>
      <c r="R61" s="280">
        <v>0</v>
      </c>
      <c r="S61" s="281"/>
      <c r="T61" s="28" t="s">
        <v>495</v>
      </c>
      <c r="U61" s="24" t="s">
        <v>498</v>
      </c>
    </row>
    <row r="62" spans="10:21" ht="22.5">
      <c r="J62" s="654"/>
      <c r="K62" s="22" t="s">
        <v>215</v>
      </c>
      <c r="L62" s="280">
        <v>2</v>
      </c>
      <c r="M62" s="281"/>
      <c r="N62" s="23" t="s">
        <v>217</v>
      </c>
      <c r="O62" s="280">
        <v>4</v>
      </c>
      <c r="P62" s="281"/>
      <c r="Q62" s="22" t="s">
        <v>219</v>
      </c>
      <c r="R62" s="280">
        <v>1</v>
      </c>
      <c r="S62" s="281"/>
      <c r="T62" s="28" t="s">
        <v>495</v>
      </c>
      <c r="U62" s="24" t="s">
        <v>505</v>
      </c>
    </row>
    <row r="63" spans="10:21" ht="22.5">
      <c r="J63" s="654"/>
      <c r="K63" s="22" t="s">
        <v>215</v>
      </c>
      <c r="L63" s="280">
        <v>2</v>
      </c>
      <c r="M63" s="281"/>
      <c r="N63" s="23" t="s">
        <v>217</v>
      </c>
      <c r="O63" s="280">
        <v>4</v>
      </c>
      <c r="P63" s="281"/>
      <c r="Q63" s="22" t="s">
        <v>219</v>
      </c>
      <c r="R63" s="280">
        <v>2</v>
      </c>
      <c r="S63" s="281"/>
      <c r="T63" s="28" t="s">
        <v>495</v>
      </c>
      <c r="U63" s="24" t="s">
        <v>507</v>
      </c>
    </row>
    <row r="64" spans="10:21" ht="22.5">
      <c r="J64" s="654"/>
      <c r="K64" s="22" t="s">
        <v>215</v>
      </c>
      <c r="L64" s="280">
        <v>2</v>
      </c>
      <c r="M64" s="281"/>
      <c r="N64" s="23" t="s">
        <v>217</v>
      </c>
      <c r="O64" s="280">
        <v>4</v>
      </c>
      <c r="P64" s="281"/>
      <c r="Q64" s="22" t="s">
        <v>219</v>
      </c>
      <c r="R64" s="280">
        <v>3</v>
      </c>
      <c r="S64" s="281"/>
      <c r="T64" s="28" t="s">
        <v>495</v>
      </c>
      <c r="U64" s="24" t="s">
        <v>219</v>
      </c>
    </row>
    <row r="65" spans="10:21" ht="22.5">
      <c r="J65" s="654"/>
      <c r="K65" s="22" t="s">
        <v>215</v>
      </c>
      <c r="L65" s="280">
        <v>3</v>
      </c>
      <c r="M65" s="281"/>
      <c r="N65" s="23" t="s">
        <v>217</v>
      </c>
      <c r="O65" s="280">
        <v>0</v>
      </c>
      <c r="P65" s="281"/>
      <c r="Q65" s="22" t="s">
        <v>219</v>
      </c>
      <c r="R65" s="280">
        <v>0</v>
      </c>
      <c r="S65" s="281"/>
      <c r="T65" s="28" t="s">
        <v>495</v>
      </c>
      <c r="U65" s="24" t="s">
        <v>498</v>
      </c>
    </row>
    <row r="66" spans="10:21" ht="22.5">
      <c r="J66" s="654"/>
      <c r="K66" s="22" t="s">
        <v>215</v>
      </c>
      <c r="L66" s="280">
        <v>3</v>
      </c>
      <c r="M66" s="281"/>
      <c r="N66" s="23" t="s">
        <v>217</v>
      </c>
      <c r="O66" s="280">
        <v>0</v>
      </c>
      <c r="P66" s="281"/>
      <c r="Q66" s="22" t="s">
        <v>219</v>
      </c>
      <c r="R66" s="280">
        <v>1</v>
      </c>
      <c r="S66" s="281"/>
      <c r="T66" s="28" t="s">
        <v>495</v>
      </c>
      <c r="U66" s="24" t="s">
        <v>498</v>
      </c>
    </row>
    <row r="67" spans="10:21" ht="22.5">
      <c r="J67" s="654"/>
      <c r="K67" s="22" t="s">
        <v>215</v>
      </c>
      <c r="L67" s="280">
        <v>3</v>
      </c>
      <c r="M67" s="281"/>
      <c r="N67" s="23" t="s">
        <v>217</v>
      </c>
      <c r="O67" s="280">
        <v>0</v>
      </c>
      <c r="P67" s="281"/>
      <c r="Q67" s="22" t="s">
        <v>219</v>
      </c>
      <c r="R67" s="280">
        <v>2</v>
      </c>
      <c r="S67" s="281"/>
      <c r="T67" s="28" t="s">
        <v>495</v>
      </c>
      <c r="U67" s="24" t="s">
        <v>498</v>
      </c>
    </row>
    <row r="68" spans="10:21" ht="22.5">
      <c r="J68" s="654"/>
      <c r="K68" s="22" t="s">
        <v>215</v>
      </c>
      <c r="L68" s="280">
        <v>3</v>
      </c>
      <c r="M68" s="281"/>
      <c r="N68" s="23" t="s">
        <v>217</v>
      </c>
      <c r="O68" s="280">
        <v>0</v>
      </c>
      <c r="P68" s="281"/>
      <c r="Q68" s="22" t="s">
        <v>219</v>
      </c>
      <c r="R68" s="280">
        <v>3</v>
      </c>
      <c r="S68" s="281"/>
      <c r="T68" s="28" t="s">
        <v>495</v>
      </c>
      <c r="U68" s="24" t="s">
        <v>498</v>
      </c>
    </row>
    <row r="69" spans="10:21" ht="22.5">
      <c r="J69" s="654"/>
      <c r="K69" s="22" t="s">
        <v>215</v>
      </c>
      <c r="L69" s="280">
        <v>3</v>
      </c>
      <c r="M69" s="281"/>
      <c r="N69" s="23" t="s">
        <v>217</v>
      </c>
      <c r="O69" s="280">
        <v>1</v>
      </c>
      <c r="P69" s="281"/>
      <c r="Q69" s="22" t="s">
        <v>219</v>
      </c>
      <c r="R69" s="280">
        <v>0</v>
      </c>
      <c r="S69" s="281"/>
      <c r="T69" s="28" t="s">
        <v>495</v>
      </c>
      <c r="U69" s="24" t="s">
        <v>498</v>
      </c>
    </row>
    <row r="70" spans="10:21" ht="22.5">
      <c r="J70" s="654"/>
      <c r="K70" s="22" t="s">
        <v>215</v>
      </c>
      <c r="L70" s="280">
        <v>3</v>
      </c>
      <c r="M70" s="281"/>
      <c r="N70" s="23" t="s">
        <v>217</v>
      </c>
      <c r="O70" s="280">
        <v>1</v>
      </c>
      <c r="P70" s="281"/>
      <c r="Q70" s="22" t="s">
        <v>219</v>
      </c>
      <c r="R70" s="280">
        <v>1</v>
      </c>
      <c r="S70" s="281"/>
      <c r="T70" s="28" t="s">
        <v>495</v>
      </c>
      <c r="U70" s="24" t="s">
        <v>498</v>
      </c>
    </row>
    <row r="71" spans="10:21" ht="22.5">
      <c r="J71" s="654"/>
      <c r="K71" s="22" t="s">
        <v>215</v>
      </c>
      <c r="L71" s="280">
        <v>3</v>
      </c>
      <c r="M71" s="281"/>
      <c r="N71" s="23" t="s">
        <v>217</v>
      </c>
      <c r="O71" s="280">
        <v>1</v>
      </c>
      <c r="P71" s="281"/>
      <c r="Q71" s="22" t="s">
        <v>219</v>
      </c>
      <c r="R71" s="280">
        <v>2</v>
      </c>
      <c r="S71" s="281"/>
      <c r="T71" s="28" t="s">
        <v>495</v>
      </c>
      <c r="U71" s="24" t="s">
        <v>498</v>
      </c>
    </row>
    <row r="72" spans="10:21" ht="22.5">
      <c r="J72" s="654"/>
      <c r="K72" s="22" t="s">
        <v>215</v>
      </c>
      <c r="L72" s="280">
        <v>3</v>
      </c>
      <c r="M72" s="281"/>
      <c r="N72" s="23" t="s">
        <v>217</v>
      </c>
      <c r="O72" s="280">
        <v>1</v>
      </c>
      <c r="P72" s="281"/>
      <c r="Q72" s="22" t="s">
        <v>219</v>
      </c>
      <c r="R72" s="280">
        <v>3</v>
      </c>
      <c r="S72" s="281"/>
      <c r="T72" s="28" t="s">
        <v>495</v>
      </c>
      <c r="U72" s="24" t="s">
        <v>505</v>
      </c>
    </row>
    <row r="73" spans="10:21" ht="22.5">
      <c r="J73" s="654"/>
      <c r="K73" s="22" t="s">
        <v>215</v>
      </c>
      <c r="L73" s="280">
        <v>3</v>
      </c>
      <c r="M73" s="281"/>
      <c r="N73" s="23" t="s">
        <v>217</v>
      </c>
      <c r="O73" s="280">
        <v>2</v>
      </c>
      <c r="P73" s="281"/>
      <c r="Q73" s="22" t="s">
        <v>219</v>
      </c>
      <c r="R73" s="280">
        <v>0</v>
      </c>
      <c r="S73" s="281"/>
      <c r="T73" s="28" t="s">
        <v>495</v>
      </c>
      <c r="U73" s="24" t="s">
        <v>498</v>
      </c>
    </row>
    <row r="74" spans="10:21" ht="22.5">
      <c r="J74" s="654"/>
      <c r="K74" s="22" t="s">
        <v>215</v>
      </c>
      <c r="L74" s="280">
        <v>3</v>
      </c>
      <c r="M74" s="281"/>
      <c r="N74" s="23" t="s">
        <v>217</v>
      </c>
      <c r="O74" s="280">
        <v>2</v>
      </c>
      <c r="P74" s="281"/>
      <c r="Q74" s="22" t="s">
        <v>219</v>
      </c>
      <c r="R74" s="280">
        <v>1</v>
      </c>
      <c r="S74" s="281"/>
      <c r="T74" s="28" t="s">
        <v>495</v>
      </c>
      <c r="U74" s="24" t="s">
        <v>498</v>
      </c>
    </row>
    <row r="75" spans="10:21" ht="22.5">
      <c r="J75" s="654"/>
      <c r="K75" s="22" t="s">
        <v>215</v>
      </c>
      <c r="L75" s="280">
        <v>3</v>
      </c>
      <c r="M75" s="281"/>
      <c r="N75" s="23" t="s">
        <v>217</v>
      </c>
      <c r="O75" s="280">
        <v>2</v>
      </c>
      <c r="P75" s="281"/>
      <c r="Q75" s="22" t="s">
        <v>219</v>
      </c>
      <c r="R75" s="280">
        <v>2</v>
      </c>
      <c r="S75" s="281"/>
      <c r="T75" s="28" t="s">
        <v>495</v>
      </c>
      <c r="U75" s="24" t="s">
        <v>505</v>
      </c>
    </row>
    <row r="76" spans="10:21" ht="22.5">
      <c r="J76" s="654"/>
      <c r="K76" s="22" t="s">
        <v>215</v>
      </c>
      <c r="L76" s="280">
        <v>3</v>
      </c>
      <c r="M76" s="281"/>
      <c r="N76" s="23" t="s">
        <v>217</v>
      </c>
      <c r="O76" s="280">
        <v>2</v>
      </c>
      <c r="P76" s="281"/>
      <c r="Q76" s="22" t="s">
        <v>219</v>
      </c>
      <c r="R76" s="280">
        <v>3</v>
      </c>
      <c r="S76" s="281"/>
      <c r="T76" s="28" t="s">
        <v>495</v>
      </c>
      <c r="U76" s="24" t="s">
        <v>507</v>
      </c>
    </row>
    <row r="77" spans="10:21" ht="22.5">
      <c r="J77" s="654"/>
      <c r="K77" s="22" t="s">
        <v>215</v>
      </c>
      <c r="L77" s="280">
        <v>3</v>
      </c>
      <c r="M77" s="281"/>
      <c r="N77" s="23" t="s">
        <v>217</v>
      </c>
      <c r="O77" s="280">
        <v>3</v>
      </c>
      <c r="P77" s="281"/>
      <c r="Q77" s="22" t="s">
        <v>219</v>
      </c>
      <c r="R77" s="280">
        <v>0</v>
      </c>
      <c r="S77" s="281"/>
      <c r="T77" s="28" t="s">
        <v>495</v>
      </c>
      <c r="U77" s="24" t="s">
        <v>498</v>
      </c>
    </row>
    <row r="78" spans="10:21" ht="22.5">
      <c r="J78" s="654"/>
      <c r="K78" s="22" t="s">
        <v>215</v>
      </c>
      <c r="L78" s="280">
        <v>3</v>
      </c>
      <c r="M78" s="281"/>
      <c r="N78" s="23" t="s">
        <v>217</v>
      </c>
      <c r="O78" s="280">
        <v>3</v>
      </c>
      <c r="P78" s="281"/>
      <c r="Q78" s="22" t="s">
        <v>219</v>
      </c>
      <c r="R78" s="280">
        <v>1</v>
      </c>
      <c r="S78" s="281"/>
      <c r="T78" s="28" t="s">
        <v>495</v>
      </c>
      <c r="U78" s="24" t="s">
        <v>505</v>
      </c>
    </row>
    <row r="79" spans="10:21" ht="22.5">
      <c r="J79" s="654"/>
      <c r="K79" s="22" t="s">
        <v>215</v>
      </c>
      <c r="L79" s="280">
        <v>3</v>
      </c>
      <c r="M79" s="281"/>
      <c r="N79" s="23" t="s">
        <v>217</v>
      </c>
      <c r="O79" s="280">
        <v>3</v>
      </c>
      <c r="P79" s="281"/>
      <c r="Q79" s="22" t="s">
        <v>219</v>
      </c>
      <c r="R79" s="280">
        <v>2</v>
      </c>
      <c r="S79" s="281"/>
      <c r="T79" s="28" t="s">
        <v>495</v>
      </c>
      <c r="U79" s="24" t="s">
        <v>507</v>
      </c>
    </row>
    <row r="80" spans="10:21" ht="22.5">
      <c r="J80" s="654"/>
      <c r="K80" s="22" t="s">
        <v>215</v>
      </c>
      <c r="L80" s="280">
        <v>3</v>
      </c>
      <c r="M80" s="281"/>
      <c r="N80" s="23" t="s">
        <v>217</v>
      </c>
      <c r="O80" s="280">
        <v>3</v>
      </c>
      <c r="P80" s="281"/>
      <c r="Q80" s="22" t="s">
        <v>219</v>
      </c>
      <c r="R80" s="280">
        <v>3</v>
      </c>
      <c r="S80" s="281"/>
      <c r="T80" s="28" t="s">
        <v>495</v>
      </c>
      <c r="U80" s="24" t="s">
        <v>219</v>
      </c>
    </row>
    <row r="81" spans="10:21" ht="22.5">
      <c r="J81" s="654"/>
      <c r="K81" s="22" t="s">
        <v>215</v>
      </c>
      <c r="L81" s="280">
        <v>3</v>
      </c>
      <c r="M81" s="281"/>
      <c r="N81" s="23" t="s">
        <v>217</v>
      </c>
      <c r="O81" s="280">
        <v>4</v>
      </c>
      <c r="P81" s="281"/>
      <c r="Q81" s="22" t="s">
        <v>219</v>
      </c>
      <c r="R81" s="280">
        <v>0</v>
      </c>
      <c r="S81" s="281"/>
      <c r="T81" s="28" t="s">
        <v>495</v>
      </c>
      <c r="U81" s="24" t="s">
        <v>498</v>
      </c>
    </row>
    <row r="82" spans="10:21" ht="22.5">
      <c r="J82" s="654"/>
      <c r="K82" s="22" t="s">
        <v>215</v>
      </c>
      <c r="L82" s="280">
        <v>3</v>
      </c>
      <c r="M82" s="281"/>
      <c r="N82" s="23" t="s">
        <v>217</v>
      </c>
      <c r="O82" s="280">
        <v>4</v>
      </c>
      <c r="P82" s="281"/>
      <c r="Q82" s="22" t="s">
        <v>219</v>
      </c>
      <c r="R82" s="280">
        <v>1</v>
      </c>
      <c r="S82" s="281"/>
      <c r="T82" s="28" t="s">
        <v>495</v>
      </c>
      <c r="U82" s="24" t="s">
        <v>507</v>
      </c>
    </row>
    <row r="83" spans="10:21" ht="22.5">
      <c r="J83" s="654"/>
      <c r="K83" s="22" t="s">
        <v>215</v>
      </c>
      <c r="L83" s="280">
        <v>3</v>
      </c>
      <c r="M83" s="281"/>
      <c r="N83" s="23" t="s">
        <v>217</v>
      </c>
      <c r="O83" s="280">
        <v>4</v>
      </c>
      <c r="P83" s="281"/>
      <c r="Q83" s="22" t="s">
        <v>219</v>
      </c>
      <c r="R83" s="280">
        <v>2</v>
      </c>
      <c r="S83" s="281"/>
      <c r="T83" s="28" t="s">
        <v>495</v>
      </c>
      <c r="U83" s="24" t="s">
        <v>219</v>
      </c>
    </row>
    <row r="84" spans="10:21" ht="23.25" thickBot="1">
      <c r="J84" s="655"/>
      <c r="K84" s="25" t="s">
        <v>215</v>
      </c>
      <c r="L84" s="282">
        <v>3</v>
      </c>
      <c r="M84" s="283"/>
      <c r="N84" s="26" t="s">
        <v>217</v>
      </c>
      <c r="O84" s="282">
        <v>4</v>
      </c>
      <c r="P84" s="283"/>
      <c r="Q84" s="25" t="s">
        <v>219</v>
      </c>
      <c r="R84" s="282">
        <v>3</v>
      </c>
      <c r="S84" s="283"/>
      <c r="T84" s="29" t="s">
        <v>495</v>
      </c>
      <c r="U84" s="27" t="s">
        <v>518</v>
      </c>
    </row>
  </sheetData>
  <sheetProtection selectLockedCells="1" selectUnlockedCells="1"/>
  <customSheetViews>
    <customSheetView guid="{1EC8F930-14F4-4F68-ADDF-6F0F0EB721BA}" scale="115" colorId="23" showGridLines="0" hiddenColumns="1">
      <selection activeCell="W15" sqref="W15"/>
      <pageMargins left="0" right="0" top="0" bottom="0" header="0" footer="0"/>
      <printOptions horizontalCentered="1"/>
      <pageSetup paperSize="9" orientation="portrait" r:id="rId1"/>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 guid="{97C31678-F053-4946-809D-FA0B847F2A76}" scale="115" colorId="23" showGridLines="0" hiddenColumns="1">
      <selection activeCell="W15" sqref="W15"/>
      <pageMargins left="0" right="0" top="0" bottom="0" header="0" footer="0"/>
      <printOptions horizontalCentered="1"/>
      <pageSetup paperSize="9" orientation="portrait" r:id="rId2"/>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customSheetView>
  </customSheetViews>
  <mergeCells count="9">
    <mergeCell ref="Q3:R3"/>
    <mergeCell ref="B4:B8"/>
    <mergeCell ref="B9:B13"/>
    <mergeCell ref="B14:B18"/>
    <mergeCell ref="B1:H1"/>
    <mergeCell ref="J3:J84"/>
    <mergeCell ref="K3:L3"/>
    <mergeCell ref="N3:O3"/>
    <mergeCell ref="B19:B23"/>
  </mergeCells>
  <phoneticPr fontId="0" type="noConversion"/>
  <dataValidations disablePrompts="1" count="2">
    <dataValidation type="list" showInputMessage="1" showErrorMessage="1" errorTitle="Wrong Input Data" error="Valid Input: -, 0, 1, 2, 3" sqref="L4:M84 R4:S84" xr:uid="{00000000-0002-0000-0F00-000000000000}">
      <formula1>"-,0,1,2,3"</formula1>
    </dataValidation>
    <dataValidation type="list" showInputMessage="1" showErrorMessage="1" errorTitle="Wrong Input Data" error="Valid Input: -, 0, 1, 2, 3, 4" sqref="O4:P84" xr:uid="{00000000-0002-0000-0F00-000001000000}">
      <formula1>"-,0,1,2,3,4"</formula1>
    </dataValidation>
  </dataValidations>
  <printOptions horizontalCentered="1"/>
  <pageMargins left="0.78740157480314965" right="0.39370078740157483" top="0.78" bottom="0.82677165354330717" header="0.19685039370078741" footer="0.31496062992125984"/>
  <pageSetup paperSize="9" orientation="portrait" r:id="rId3"/>
  <headerFooter alignWithMargins="0">
    <oddHeader>&amp;L&amp;G&amp;C&amp;"Arial,Fett"&amp;14Functional Safety Work ProductWP-T 02 Preliminary Hazard Analysis</oddHeader>
    <oddFooter>&amp;L&amp;8Document Class: &amp;"Arial,Fett"Confidential&amp;"Arial,Standard"GIS Series/Retention: &amp;"Arial,Fett"27.60, 35&amp;"Arial,Standard"Filename: &amp;F&amp;RPage &amp;P of &amp;N</oddFooter>
  </headerFooter>
  <legacyDrawingHF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tabColor indexed="22"/>
  </sheetPr>
  <dimension ref="A1:A7"/>
  <sheetViews>
    <sheetView workbookViewId="0">
      <selection sqref="A1:XFD1048576"/>
    </sheetView>
  </sheetViews>
  <sheetFormatPr defaultColWidth="9.140625" defaultRowHeight="12.75"/>
  <cols>
    <col min="1" max="1" width="74.28515625" customWidth="1"/>
  </cols>
  <sheetData>
    <row r="1" spans="1:1" ht="15">
      <c r="A1" s="41" t="s">
        <v>519</v>
      </c>
    </row>
    <row r="2" spans="1:1">
      <c r="A2" s="37" t="s">
        <v>520</v>
      </c>
    </row>
    <row r="3" spans="1:1">
      <c r="A3" s="37" t="s">
        <v>521</v>
      </c>
    </row>
    <row r="4" spans="1:1" ht="89.25">
      <c r="A4" s="217" t="s">
        <v>522</v>
      </c>
    </row>
    <row r="5" spans="1:1" ht="76.5">
      <c r="A5" s="217" t="s">
        <v>523</v>
      </c>
    </row>
    <row r="6" spans="1:1" ht="89.25">
      <c r="A6" s="33" t="s">
        <v>524</v>
      </c>
    </row>
    <row r="7" spans="1:1" ht="115.5" customHeight="1">
      <c r="A7" s="181"/>
    </row>
  </sheetData>
  <customSheetViews>
    <customSheetView guid="{1EC8F930-14F4-4F68-ADDF-6F0F0EB721BA}">
      <pageMargins left="0" right="0" top="0" bottom="0" header="0" footer="0"/>
      <pageSetup paperSize="9" orientation="portrait" r:id="rId1"/>
    </customSheetView>
    <customSheetView guid="{97C31678-F053-4946-809D-FA0B847F2A76}">
      <pageMargins left="0" right="0" top="0" bottom="0" header="0" footer="0"/>
      <pageSetup paperSize="9" orientation="portrait" r:id="rId2"/>
    </customSheetView>
  </customSheetViews>
  <phoneticPr fontId="50" type="noConversion"/>
  <pageMargins left="0.7" right="0.7" top="0.75" bottom="0.75" header="0.3" footer="0.3"/>
  <pageSetup paperSize="9"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929BB-E28F-4150-B4B9-77C319E96FB2}">
  <sheetPr codeName="Sheet1">
    <tabColor rgb="FFFFFF00"/>
  </sheetPr>
  <dimension ref="A1:F20"/>
  <sheetViews>
    <sheetView workbookViewId="0">
      <selection sqref="A1:XFD1048576"/>
    </sheetView>
  </sheetViews>
  <sheetFormatPr defaultColWidth="8.85546875" defaultRowHeight="12.75"/>
  <cols>
    <col min="1" max="16384" width="8.85546875" style="181"/>
  </cols>
  <sheetData>
    <row r="1" spans="1:6">
      <c r="A1" s="181" t="s">
        <v>525</v>
      </c>
    </row>
    <row r="2" spans="1:6">
      <c r="A2" s="181" t="s">
        <v>526</v>
      </c>
    </row>
    <row r="3" spans="1:6">
      <c r="A3" s="181" t="s">
        <v>527</v>
      </c>
    </row>
    <row r="4" spans="1:6">
      <c r="A4" s="181" t="s">
        <v>528</v>
      </c>
    </row>
    <row r="5" spans="1:6">
      <c r="A5" s="181" t="s">
        <v>529</v>
      </c>
      <c r="F5" s="37"/>
    </row>
    <row r="6" spans="1:6">
      <c r="A6" s="181" t="s">
        <v>530</v>
      </c>
    </row>
    <row r="7" spans="1:6">
      <c r="A7" s="181" t="s">
        <v>531</v>
      </c>
    </row>
    <row r="8" spans="1:6">
      <c r="A8" s="181" t="s">
        <v>532</v>
      </c>
    </row>
    <row r="9" spans="1:6">
      <c r="A9" s="181" t="s">
        <v>533</v>
      </c>
    </row>
    <row r="10" spans="1:6">
      <c r="A10" s="181" t="s">
        <v>534</v>
      </c>
    </row>
    <row r="11" spans="1:6">
      <c r="A11" s="181" t="s">
        <v>535</v>
      </c>
    </row>
    <row r="12" spans="1:6">
      <c r="A12" s="181" t="s">
        <v>536</v>
      </c>
    </row>
    <row r="13" spans="1:6">
      <c r="A13" s="181" t="s">
        <v>537</v>
      </c>
    </row>
    <row r="14" spans="1:6">
      <c r="A14" s="181" t="s">
        <v>538</v>
      </c>
    </row>
    <row r="15" spans="1:6">
      <c r="A15" s="181" t="s">
        <v>539</v>
      </c>
    </row>
    <row r="16" spans="1:6">
      <c r="A16" s="181" t="s">
        <v>540</v>
      </c>
    </row>
    <row r="17" spans="1:1">
      <c r="A17" s="181" t="s">
        <v>541</v>
      </c>
    </row>
    <row r="18" spans="1:1">
      <c r="A18" s="181" t="s">
        <v>542</v>
      </c>
    </row>
    <row r="19" spans="1:1">
      <c r="A19" s="181" t="s">
        <v>543</v>
      </c>
    </row>
    <row r="20" spans="1:1">
      <c r="A20" s="181" t="s">
        <v>544</v>
      </c>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Version xmlns="6510d3bd-174e-41aa-91fa-f499254fc524">2022.2</DocVersion>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63F564C29D0564B847802B49FA7E0EC" ma:contentTypeVersion="7" ma:contentTypeDescription="Create a new document." ma:contentTypeScope="" ma:versionID="3076be82aef30f1dc33afad60353217c">
  <xsd:schema xmlns:xsd="http://www.w3.org/2001/XMLSchema" xmlns:xs="http://www.w3.org/2001/XMLSchema" xmlns:p="http://schemas.microsoft.com/office/2006/metadata/properties" xmlns:ns2="6510d3bd-174e-41aa-91fa-f499254fc524" xmlns:ns3="b920bcc9-870e-4447-b448-edcaed8d9b11" targetNamespace="http://schemas.microsoft.com/office/2006/metadata/properties" ma:root="true" ma:fieldsID="c36969a5825a211dd471b47de006b5c0" ns2:_="" ns3:_="">
    <xsd:import namespace="6510d3bd-174e-41aa-91fa-f499254fc524"/>
    <xsd:import namespace="b920bcc9-870e-4447-b448-edcaed8d9b1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DocVers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10d3bd-174e-41aa-91fa-f499254fc5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ocVersion" ma:index="12" nillable="true" ma:displayName="DocVersion" ma:internalName="DocVersion">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920bcc9-870e-4447-b448-edcaed8d9b11"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C2B39F-A4A7-4708-B65C-2E5310449D1E}">
  <ds:schemaRefs>
    <ds:schemaRef ds:uri="fabb0338-740b-463c-a9f5-4e316faab788"/>
    <ds:schemaRef ds:uri="http://schemas.microsoft.com/office/infopath/2007/PartnerControls"/>
    <ds:schemaRef ds:uri="http://schemas.microsoft.com/office/2006/documentManagement/types"/>
    <ds:schemaRef ds:uri="http://schemas.microsoft.com/office/2006/metadata/properties"/>
    <ds:schemaRef ds:uri="http://purl.org/dc/elements/1.1/"/>
    <ds:schemaRef ds:uri="http://schemas.microsoft.com/sharepoint/v3"/>
    <ds:schemaRef ds:uri="http://schemas.openxmlformats.org/package/2006/metadata/core-properties"/>
    <ds:schemaRef ds:uri="http://purl.org/dc/terms/"/>
    <ds:schemaRef ds:uri="b920bcc9-870e-4447-b448-edcaed8d9b11"/>
    <ds:schemaRef ds:uri="http://www.w3.org/XML/1998/namespace"/>
    <ds:schemaRef ds:uri="http://purl.org/dc/dcmitype/"/>
    <ds:schemaRef ds:uri="6510d3bd-174e-41aa-91fa-f499254fc524"/>
  </ds:schemaRefs>
</ds:datastoreItem>
</file>

<file path=customXml/itemProps2.xml><?xml version="1.0" encoding="utf-8"?>
<ds:datastoreItem xmlns:ds="http://schemas.openxmlformats.org/officeDocument/2006/customXml" ds:itemID="{A6F96D23-D6CD-4AD7-A68C-E46776214E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10d3bd-174e-41aa-91fa-f499254fc524"/>
    <ds:schemaRef ds:uri="b920bcc9-870e-4447-b448-edcaed8d9b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D4DF8E-55CA-4445-B4DE-B7E71893C506}">
  <ds:schemaRefs>
    <ds:schemaRef ds:uri="http://schemas.microsoft.com/office/2006/metadata/longProperties"/>
  </ds:schemaRefs>
</ds:datastoreItem>
</file>

<file path=customXml/itemProps4.xml><?xml version="1.0" encoding="utf-8"?>
<ds:datastoreItem xmlns:ds="http://schemas.openxmlformats.org/officeDocument/2006/customXml" ds:itemID="{B716D77B-33E5-4CA0-860D-9E7BC48938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16</vt:i4>
      </vt:variant>
    </vt:vector>
  </HeadingPairs>
  <TitlesOfParts>
    <vt:vector size="34" baseType="lpstr">
      <vt:lpstr>Cover Page</vt:lpstr>
      <vt:lpstr>Introduction</vt:lpstr>
      <vt:lpstr>Change Control</vt:lpstr>
      <vt:lpstr>Situation Dictionary</vt:lpstr>
      <vt:lpstr>Hazard Dictionary</vt:lpstr>
      <vt:lpstr>1 - Guide Words</vt:lpstr>
      <vt:lpstr>2 - Assumptions</vt:lpstr>
      <vt:lpstr>3 - Hazard A. &amp; Risk Assessment</vt:lpstr>
      <vt:lpstr>4 - SGs</vt:lpstr>
      <vt:lpstr>5 - Verification Review</vt:lpstr>
      <vt:lpstr>6 - Confirmation Review</vt:lpstr>
      <vt:lpstr>Definitions etc.</vt:lpstr>
      <vt:lpstr>Severity</vt:lpstr>
      <vt:lpstr>Exposure</vt:lpstr>
      <vt:lpstr>Controllability</vt:lpstr>
      <vt:lpstr>ASIL Calculation</vt:lpstr>
      <vt:lpstr>Macros</vt:lpstr>
      <vt:lpstr>FTTI Reference Tables (hide me)</vt:lpstr>
      <vt:lpstr>'Change Control'!_Hlk73377371</vt:lpstr>
      <vt:lpstr>ASIL_Tabelle</vt:lpstr>
      <vt:lpstr>C_Wert</vt:lpstr>
      <vt:lpstr>Controllability</vt:lpstr>
      <vt:lpstr>E_Wert</vt:lpstr>
      <vt:lpstr>Environmental_Conditions</vt:lpstr>
      <vt:lpstr>Guideword</vt:lpstr>
      <vt:lpstr>Location</vt:lpstr>
      <vt:lpstr>'3 - Hazard A. &amp; Risk Assessment'!Print_Area</vt:lpstr>
      <vt:lpstr>'Cover Page'!Print_Area</vt:lpstr>
      <vt:lpstr>'3 - Hazard A. &amp; Risk Assessment'!Print_Titles</vt:lpstr>
      <vt:lpstr>Road_Conditions</vt:lpstr>
      <vt:lpstr>S_Wert</vt:lpstr>
      <vt:lpstr>Target</vt:lpstr>
      <vt:lpstr>Target2</vt:lpstr>
      <vt:lpstr>Vehicle_Usage</vt:lpstr>
    </vt:vector>
  </TitlesOfParts>
  <Manager/>
  <Company>Ford Motor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FFSD02 Hazard Analysis and Risk Assessment</dc:title>
  <dc:subject/>
  <dc:creator>tfrese, amuell12, dhatebur,yrambini1</dc:creator>
  <cp:keywords>{ISO}</cp:keywords>
  <dc:description>{Date Issued: 21.10.2009}</dc:description>
  <cp:lastModifiedBy>Geng, Dekang (D.)</cp:lastModifiedBy>
  <cp:revision/>
  <dcterms:created xsi:type="dcterms:W3CDTF">2008-01-29T11:13:30Z</dcterms:created>
  <dcterms:modified xsi:type="dcterms:W3CDTF">2023-01-16T08:45:03Z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_NewReviewCycle">
    <vt:lpwstr/>
  </property>
  <property fmtid="{D5CDD505-2E9C-101B-9397-08002B2CF9AE}" pid="4" name="ContentTypeId">
    <vt:lpwstr>0x010100A63F564C29D0564B847802B49FA7E0EC</vt:lpwstr>
  </property>
  <property fmtid="{D5CDD505-2E9C-101B-9397-08002B2CF9AE}" pid="5" name="Order">
    <vt:r8>60400</vt:r8>
  </property>
  <property fmtid="{D5CDD505-2E9C-101B-9397-08002B2CF9AE}" pid="6" name="xd_ProgID">
    <vt:lpwstr/>
  </property>
  <property fmtid="{D5CDD505-2E9C-101B-9397-08002B2CF9AE}" pid="7" name="TemplateUrl">
    <vt:lpwstr/>
  </property>
</Properties>
</file>